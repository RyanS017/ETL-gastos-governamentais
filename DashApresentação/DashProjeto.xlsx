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Leandro Felix\Downloads\"/>
    </mc:Choice>
  </mc:AlternateContent>
  <xr:revisionPtr revIDLastSave="0" documentId="8_{404C0751-3212-489D-ACE7-0AE12D5F2A64}" xr6:coauthVersionLast="47" xr6:coauthVersionMax="47" xr10:uidLastSave="{00000000-0000-0000-0000-000000000000}"/>
  <bookViews>
    <workbookView xWindow="-120" yWindow="-120" windowWidth="20640" windowHeight="11040" activeTab="7" xr2:uid="{732D78E8-33D4-4C94-9CA8-0D54B2DF050F}"/>
  </bookViews>
  <sheets>
    <sheet name="Consulta1" sheetId="2" r:id="rId1"/>
    <sheet name="Consulta2" sheetId="3" r:id="rId2"/>
    <sheet name="Consulta3" sheetId="4" r:id="rId3"/>
    <sheet name="Consulta4" sheetId="5" r:id="rId4"/>
    <sheet name="Planilha3" sheetId="8" state="hidden" r:id="rId5"/>
    <sheet name="Consulta5" sheetId="6" r:id="rId6"/>
    <sheet name="Planilha4" sheetId="10" state="hidden" r:id="rId7"/>
    <sheet name="Consulta6" sheetId="9" r:id="rId8"/>
  </sheets>
  <definedNames>
    <definedName name="DadosExternos_1" localSheetId="0" hidden="1">'Consulta1'!$A$1:$C$17</definedName>
    <definedName name="DadosExternos_1" localSheetId="1" hidden="1">'Consulta2'!$A$1:$F$3</definedName>
    <definedName name="DadosExternos_1" localSheetId="2" hidden="1">'Consulta3'!$A$1:$C$5</definedName>
    <definedName name="DadosExternos_1" localSheetId="3" hidden="1">'Consulta4'!$A$1:$C$5</definedName>
    <definedName name="DadosExternos_1" localSheetId="5" hidden="1">'Consulta5'!$A$1:$H$197</definedName>
    <definedName name="DadosExternos_1" localSheetId="7" hidden="1">'Consulta6'!$A$1:$D$29</definedName>
  </definedNames>
  <calcPr calcId="191029"/>
  <pivotCaches>
    <pivotCache cacheId="26" r:id="rId9"/>
    <pivotCache cacheId="34" r:id="rId10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8A4287-1BC1-4EEE-A272-5A0C0D083785}" keepAlive="1" name="Consulta - Consulta1" description="Conexão com a consulta 'Consulta1' na pasta de trabalho." type="5" refreshedVersion="8" background="1" saveData="1">
    <dbPr connection="Provider=Microsoft.Mashup.OleDb.1;Data Source=$Workbook$;Location=Consulta1;Extended Properties=&quot;&quot;" command="SELECT * FROM [Consulta1]"/>
  </connection>
  <connection id="2" xr16:uid="{F18C0F86-0A22-48E9-9B49-55DFF83806EA}" keepAlive="1" name="Consulta - Consulta2" description="Conexão com a consulta 'Consulta2' na pasta de trabalho." type="5" refreshedVersion="8" background="1" saveData="1">
    <dbPr connection="Provider=Microsoft.Mashup.OleDb.1;Data Source=$Workbook$;Location=Consulta2;Extended Properties=&quot;&quot;" command="SELECT * FROM [Consulta2]"/>
  </connection>
  <connection id="3" xr16:uid="{DFF506A8-B0B6-40F9-BBD9-309D8F8CB2B5}" keepAlive="1" name="Consulta - Consulta3" description="Conexão com a consulta 'Consulta3' na pasta de trabalho." type="5" refreshedVersion="8" background="1" saveData="1">
    <dbPr connection="Provider=Microsoft.Mashup.OleDb.1;Data Source=$Workbook$;Location=Consulta3;Extended Properties=&quot;&quot;" command="SELECT * FROM [Consulta3]"/>
  </connection>
  <connection id="4" xr16:uid="{57A700BA-61FC-4EC3-ADF1-BB2EC4F23166}" keepAlive="1" name="Consulta - Consulta4" description="Conexão com a consulta 'Consulta4' na pasta de trabalho." type="5" refreshedVersion="8" background="1" saveData="1">
    <dbPr connection="Provider=Microsoft.Mashup.OleDb.1;Data Source=$Workbook$;Location=Consulta4;Extended Properties=&quot;&quot;" command="SELECT * FROM [Consulta4]"/>
  </connection>
  <connection id="5" xr16:uid="{D68ED8F5-9823-4E97-9F39-C2E183BC241B}" keepAlive="1" name="Consulta - Consulta5" description="Conexão com a consulta 'Consulta5' na pasta de trabalho." type="5" refreshedVersion="8" background="1" saveData="1">
    <dbPr connection="Provider=Microsoft.Mashup.OleDb.1;Data Source=$Workbook$;Location=Consulta5;Extended Properties=&quot;&quot;" command="SELECT * FROM [Consulta5]"/>
  </connection>
  <connection id="6" xr16:uid="{00EF5588-A468-447C-9B10-F28F9756976E}" keepAlive="1" name="Consulta - Consulta6" description="Conexão com a consulta 'Consulta6' na pasta de trabalho." type="5" refreshedVersion="8" background="1" saveData="1">
    <dbPr connection="Provider=Microsoft.Mashup.OleDb.1;Data Source=$Workbook$;Location=Consulta6;Extended Properties=&quot;&quot;" command="SELECT * FROM [Consulta6]"/>
  </connection>
</connections>
</file>

<file path=xl/sharedStrings.xml><?xml version="1.0" encoding="utf-8"?>
<sst xmlns="http://schemas.openxmlformats.org/spreadsheetml/2006/main" count="516" uniqueCount="56">
  <si>
    <t>NomePresidente</t>
  </si>
  <si>
    <t>NomeFuncao</t>
  </si>
  <si>
    <t>TotalInvestido</t>
  </si>
  <si>
    <t>Lula</t>
  </si>
  <si>
    <t>Ciência e Tecnologia</t>
  </si>
  <si>
    <t>Jair Bolsonaro</t>
  </si>
  <si>
    <t>Michel Temer</t>
  </si>
  <si>
    <t>Dilma Roussef</t>
  </si>
  <si>
    <t>Educação</t>
  </si>
  <si>
    <t>Saúde</t>
  </si>
  <si>
    <t>Segurança pública</t>
  </si>
  <si>
    <t>IdMandato</t>
  </si>
  <si>
    <t>AnoEleitoral</t>
  </si>
  <si>
    <t>TotalAnoEleitoral</t>
  </si>
  <si>
    <t>TotalAnoAnterior</t>
  </si>
  <si>
    <t>PercentualAumento</t>
  </si>
  <si>
    <t>Column1</t>
  </si>
  <si>
    <t>TotalGastoViagens</t>
  </si>
  <si>
    <t>QuantidadeViagens</t>
  </si>
  <si>
    <t>AnoBase</t>
  </si>
  <si>
    <t>AnoComparado</t>
  </si>
  <si>
    <t>TotalAnoBase</t>
  </si>
  <si>
    <t>TotalAnoComparado</t>
  </si>
  <si>
    <t>PercentualVariacao</t>
  </si>
  <si>
    <t>Administração</t>
  </si>
  <si>
    <t>Agricultura</t>
  </si>
  <si>
    <t>Assistência social</t>
  </si>
  <si>
    <t>Comércio e serviços</t>
  </si>
  <si>
    <t>Comunicações</t>
  </si>
  <si>
    <t>Cultura</t>
  </si>
  <si>
    <t>Defesa nacional</t>
  </si>
  <si>
    <t>Desporto e lazer</t>
  </si>
  <si>
    <t>Direitos da cidadania</t>
  </si>
  <si>
    <t>Encargos especiais</t>
  </si>
  <si>
    <t>Energia</t>
  </si>
  <si>
    <t>Essencial à justiça</t>
  </si>
  <si>
    <t>Gestão ambiental</t>
  </si>
  <si>
    <t>Habitação</t>
  </si>
  <si>
    <t>Indústria</t>
  </si>
  <si>
    <t>Judiciária</t>
  </si>
  <si>
    <t>Legislativa</t>
  </si>
  <si>
    <t>Organização agrária</t>
  </si>
  <si>
    <t>Previdência social</t>
  </si>
  <si>
    <t>Relações exteriores</t>
  </si>
  <si>
    <t>Saneamento</t>
  </si>
  <si>
    <t>Trabalho</t>
  </si>
  <si>
    <t>Transporte</t>
  </si>
  <si>
    <t>Urbanismo</t>
  </si>
  <si>
    <t>Soma de TotalAnoBase</t>
  </si>
  <si>
    <t>Total Geral</t>
  </si>
  <si>
    <t>Rótulos de Coluna</t>
  </si>
  <si>
    <t>Soma de TotalAnoComparado</t>
  </si>
  <si>
    <t>TotalPrePandemia</t>
  </si>
  <si>
    <t>TotalDurantePandemia</t>
  </si>
  <si>
    <t>Soma de TotalPrePandemia</t>
  </si>
  <si>
    <t>Soma de TotalDurantePandemia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</si>
</sst>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4">
    <xf numFmtId="0" fontId="0" fillId="0" borderId="0" xfId="0"/>
    <xf numFmtId="0" fontId="1" fillId="2" borderId="2" xfId="0" applyFont="1" applyFill="1" applyBorder="1"/>
    <xf numFmtId="164" fontId="0" fillId="0" borderId="0" xfId="0" applyNumberFormat="1"/>
    <xf numFmtId="0" fontId="0" fillId="0" borderId="2" xfId="0" applyBorder="1"/>
    <xf numFmtId="0" fontId="0" fillId="3" borderId="2" xfId="0" applyFill="1" applyBorder="1"/>
    <xf numFmtId="0" fontId="0" fillId="3" borderId="1" xfId="0" applyFill="1" applyBorder="1"/>
    <xf numFmtId="0" fontId="0" fillId="0" borderId="1" xfId="0" applyBorder="1"/>
    <xf numFmtId="164" fontId="0" fillId="3" borderId="3" xfId="0" applyNumberFormat="1" applyFill="1" applyBorder="1"/>
    <xf numFmtId="164" fontId="0" fillId="0" borderId="3" xfId="0" applyNumberFormat="1" applyBorder="1"/>
    <xf numFmtId="10" fontId="0" fillId="0" borderId="0" xfId="0" applyNumberFormat="1"/>
    <xf numFmtId="0" fontId="0" fillId="0" borderId="0" xfId="0" pivotButton="1"/>
    <xf numFmtId="0" fontId="0" fillId="0" borderId="0" xfId="0" applyNumberFormat="1"/>
    <xf numFmtId="44" fontId="0" fillId="0" borderId="0" xfId="1" applyFont="1"/>
    <xf numFmtId="44" fontId="0" fillId="0" borderId="0" xfId="0" applyNumberFormat="1"/>
  </cellXfs>
  <cellStyles count="2">
    <cellStyle name="Moeda" xfId="1" builtinId="4"/>
    <cellStyle name="Normal" xfId="0" builtinId="0"/>
  </cellStyles>
  <dxfs count="16">
    <dxf>
      <numFmt numFmtId="0" formatCode="General"/>
    </dxf>
    <dxf>
      <numFmt numFmtId="164" formatCode="&quot;R$&quot;\ #,##0.00"/>
    </dxf>
    <dxf>
      <numFmt numFmtId="164" formatCode="&quot;R$&quot;\ #,##0.00"/>
    </dxf>
    <dxf>
      <numFmt numFmtId="0" formatCode="General"/>
    </dxf>
    <dxf>
      <numFmt numFmtId="0" formatCode="General"/>
    </dxf>
    <dxf>
      <numFmt numFmtId="164" formatCode="&quot;R$&quot;\ #,##0.00"/>
    </dxf>
    <dxf>
      <numFmt numFmtId="0" formatCode="General"/>
    </dxf>
    <dxf>
      <numFmt numFmtId="164" formatCode="&quot;R$&quot;\ #,##0.00"/>
    </dxf>
    <dxf>
      <numFmt numFmtId="0" formatCode="General"/>
    </dxf>
    <dxf>
      <numFmt numFmtId="14" formatCode="0.00%"/>
    </dxf>
    <dxf>
      <numFmt numFmtId="164" formatCode="&quot;R$&quot;\ #,##0.00"/>
    </dxf>
    <dxf>
      <numFmt numFmtId="164" formatCode="&quot;R$&quot;\ #,##0.00"/>
    </dxf>
    <dxf>
      <numFmt numFmtId="0" formatCode="General"/>
    </dxf>
    <dxf>
      <numFmt numFmtId="164" formatCode="&quot;R$&quot;\ #,##0.0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NumerosPorFuncao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'Consulta1'!$F$1</c:f>
              <c:strCache>
                <c:ptCount val="1"/>
                <c:pt idx="0">
                  <c:v>Lula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'Consulta1'!$E$2:$E$5</c:f>
              <c:strCache>
                <c:ptCount val="4"/>
                <c:pt idx="0">
                  <c:v>Ciência e Tecnologia</c:v>
                </c:pt>
                <c:pt idx="1">
                  <c:v>Educação</c:v>
                </c:pt>
                <c:pt idx="2">
                  <c:v>Saúde</c:v>
                </c:pt>
                <c:pt idx="3">
                  <c:v>Segurança pública</c:v>
                </c:pt>
              </c:strCache>
            </c:strRef>
          </c:cat>
          <c:val>
            <c:numRef>
              <c:f>'Consulta1'!$F$2:$F$5</c:f>
              <c:numCache>
                <c:formatCode>"R$"\ #,##0.00</c:formatCode>
                <c:ptCount val="4"/>
                <c:pt idx="0">
                  <c:v>27249297281.580002</c:v>
                </c:pt>
                <c:pt idx="1">
                  <c:v>266459801422.89001</c:v>
                </c:pt>
                <c:pt idx="2">
                  <c:v>354692691833.38</c:v>
                </c:pt>
                <c:pt idx="3">
                  <c:v>29889725312.799999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56-46EC-AC03-473D9DC647F9}"/>
            </c:ext>
          </c:extLst>
        </c:ser>
        <c:ser>
          <c:idx val="1"/>
          <c:order val="1"/>
          <c:tx>
            <c:strRef>
              <c:f>'Consulta1'!$G$1</c:f>
              <c:strCache>
                <c:ptCount val="1"/>
                <c:pt idx="0">
                  <c:v>Jair Bolsonaro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'Consulta1'!$E$2:$E$5</c:f>
              <c:strCache>
                <c:ptCount val="4"/>
                <c:pt idx="0">
                  <c:v>Ciência e Tecnologia</c:v>
                </c:pt>
                <c:pt idx="1">
                  <c:v>Educação</c:v>
                </c:pt>
                <c:pt idx="2">
                  <c:v>Saúde</c:v>
                </c:pt>
                <c:pt idx="3">
                  <c:v>Segurança pública</c:v>
                </c:pt>
              </c:strCache>
            </c:strRef>
          </c:cat>
          <c:val>
            <c:numRef>
              <c:f>'Consulta1'!$G$2:$G$5</c:f>
              <c:numCache>
                <c:formatCode>"R$"\ #,##0.00</c:formatCode>
                <c:ptCount val="4"/>
                <c:pt idx="0">
                  <c:v>25478397014.279999</c:v>
                </c:pt>
                <c:pt idx="1">
                  <c:v>388383140064.67999</c:v>
                </c:pt>
                <c:pt idx="2">
                  <c:v>562930891250.51001</c:v>
                </c:pt>
                <c:pt idx="3">
                  <c:v>41904308323.419998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56-46EC-AC03-473D9DC647F9}"/>
            </c:ext>
          </c:extLst>
        </c:ser>
        <c:ser>
          <c:idx val="2"/>
          <c:order val="2"/>
          <c:tx>
            <c:strRef>
              <c:f>'Consulta1'!$H$1</c:f>
              <c:strCache>
                <c:ptCount val="1"/>
                <c:pt idx="0">
                  <c:v>Michel Temer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'Consulta1'!$E$2:$E$5</c:f>
              <c:strCache>
                <c:ptCount val="4"/>
                <c:pt idx="0">
                  <c:v>Ciência e Tecnologia</c:v>
                </c:pt>
                <c:pt idx="1">
                  <c:v>Educação</c:v>
                </c:pt>
                <c:pt idx="2">
                  <c:v>Saúde</c:v>
                </c:pt>
                <c:pt idx="3">
                  <c:v>Segurança pública</c:v>
                </c:pt>
              </c:strCache>
            </c:strRef>
          </c:cat>
          <c:val>
            <c:numRef>
              <c:f>'Consulta1'!$H$2:$H$5</c:f>
              <c:numCache>
                <c:formatCode>"R$"\ #,##0.00</c:formatCode>
                <c:ptCount val="4"/>
                <c:pt idx="0">
                  <c:v>15778559171.110001</c:v>
                </c:pt>
                <c:pt idx="1">
                  <c:v>236278593417.51001</c:v>
                </c:pt>
                <c:pt idx="2">
                  <c:v>249346809562.82999</c:v>
                </c:pt>
                <c:pt idx="3">
                  <c:v>21335017279.330002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56-46EC-AC03-473D9DC647F9}"/>
            </c:ext>
          </c:extLst>
        </c:ser>
        <c:ser>
          <c:idx val="3"/>
          <c:order val="3"/>
          <c:tx>
            <c:strRef>
              <c:f>'Consulta1'!$I$1</c:f>
              <c:strCache>
                <c:ptCount val="1"/>
                <c:pt idx="0">
                  <c:v>Dilma Roussef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'Consulta1'!$E$2:$E$5</c:f>
              <c:strCache>
                <c:ptCount val="4"/>
                <c:pt idx="0">
                  <c:v>Ciência e Tecnologia</c:v>
                </c:pt>
                <c:pt idx="1">
                  <c:v>Educação</c:v>
                </c:pt>
                <c:pt idx="2">
                  <c:v>Saúde</c:v>
                </c:pt>
                <c:pt idx="3">
                  <c:v>Segurança pública</c:v>
                </c:pt>
              </c:strCache>
            </c:strRef>
          </c:cat>
          <c:val>
            <c:numRef>
              <c:f>'Consulta1'!$I$2:$I$5</c:f>
              <c:numCache>
                <c:formatCode>"R$"\ #,##0.00</c:formatCode>
                <c:ptCount val="4"/>
                <c:pt idx="0">
                  <c:v>9304975509.8799992</c:v>
                </c:pt>
                <c:pt idx="1">
                  <c:v>144912683191.88</c:v>
                </c:pt>
                <c:pt idx="2">
                  <c:v>155601703520.75</c:v>
                </c:pt>
                <c:pt idx="3">
                  <c:v>12795072468.32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56-46EC-AC03-473D9DC647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20775647"/>
        <c:axId val="1520772767"/>
      </c:barChart>
      <c:catAx>
        <c:axId val="1520775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0772767"/>
        <c:crosses val="autoZero"/>
        <c:auto val="1"/>
        <c:lblAlgn val="ctr"/>
        <c:lblOffset val="100"/>
        <c:noMultiLvlLbl val="0"/>
      </c:catAx>
      <c:valAx>
        <c:axId val="1520772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0775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AumentoAnoEleitoral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'Consulta2'!$B$2:$C$2</c:f>
              <c:strCache>
                <c:ptCount val="2"/>
                <c:pt idx="0">
                  <c:v>Michel Temer</c:v>
                </c:pt>
                <c:pt idx="1">
                  <c:v>2018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'Consulta2'!$D$1:$E$1</c:f>
              <c:strCache>
                <c:ptCount val="2"/>
                <c:pt idx="0">
                  <c:v>TotalAnoEleitoral</c:v>
                </c:pt>
                <c:pt idx="1">
                  <c:v>TotalAnoAnterior</c:v>
                </c:pt>
              </c:strCache>
            </c:strRef>
          </c:cat>
          <c:val>
            <c:numRef>
              <c:f>'Consulta2'!$D$2:$E$2</c:f>
              <c:numCache>
                <c:formatCode>"R$"\ #,##0.00</c:formatCode>
                <c:ptCount val="2"/>
                <c:pt idx="0">
                  <c:v>2522845254532.8101</c:v>
                </c:pt>
                <c:pt idx="1">
                  <c:v>2394600442427.8301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4E-4F6E-A499-D13132ACFACB}"/>
            </c:ext>
          </c:extLst>
        </c:ser>
        <c:ser>
          <c:idx val="1"/>
          <c:order val="1"/>
          <c:tx>
            <c:strRef>
              <c:f>'Consulta2'!$B$3:$C$3</c:f>
              <c:strCache>
                <c:ptCount val="2"/>
                <c:pt idx="0">
                  <c:v>Jair Bolsonaro</c:v>
                </c:pt>
                <c:pt idx="1">
                  <c:v>2022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'Consulta2'!$D$1:$E$1</c:f>
              <c:strCache>
                <c:ptCount val="2"/>
                <c:pt idx="0">
                  <c:v>TotalAnoEleitoral</c:v>
                </c:pt>
                <c:pt idx="1">
                  <c:v>TotalAnoAnterior</c:v>
                </c:pt>
              </c:strCache>
            </c:strRef>
          </c:cat>
          <c:val>
            <c:numRef>
              <c:f>'Consulta2'!$D$3:$E$3</c:f>
              <c:numCache>
                <c:formatCode>"R$"\ #,##0.00</c:formatCode>
                <c:ptCount val="2"/>
                <c:pt idx="0">
                  <c:v>3927375392104.1802</c:v>
                </c:pt>
                <c:pt idx="1">
                  <c:v>3743788587265.5098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4E-4F6E-A499-D13132ACFA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20805887"/>
        <c:axId val="1520801567"/>
      </c:barChart>
      <c:catAx>
        <c:axId val="15208058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0801567"/>
        <c:crosses val="autoZero"/>
        <c:auto val="1"/>
        <c:lblAlgn val="ctr"/>
        <c:lblOffset val="100"/>
        <c:noMultiLvlLbl val="0"/>
      </c:catAx>
      <c:valAx>
        <c:axId val="1520801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0805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GastosCartao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3397003499562549"/>
          <c:y val="0.15319444444444447"/>
          <c:w val="0.66609886264216978"/>
          <c:h val="0.72125801983085447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'Consulta3'!$B$2:$B$5</c:f>
              <c:strCache>
                <c:ptCount val="4"/>
                <c:pt idx="0">
                  <c:v>Jair Bolsonaro</c:v>
                </c:pt>
                <c:pt idx="1">
                  <c:v>Lula</c:v>
                </c:pt>
                <c:pt idx="2">
                  <c:v>Michel Temer</c:v>
                </c:pt>
                <c:pt idx="3">
                  <c:v>Dilma Roussef</c:v>
                </c:pt>
              </c:strCache>
            </c:strRef>
          </c:cat>
          <c:val>
            <c:numRef>
              <c:f>'Consulta3'!$C$2:$C$5</c:f>
              <c:numCache>
                <c:formatCode>"R$"\ #,##0.00</c:formatCode>
                <c:ptCount val="4"/>
                <c:pt idx="0">
                  <c:v>254481420.25999999</c:v>
                </c:pt>
                <c:pt idx="1">
                  <c:v>191131678.16999999</c:v>
                </c:pt>
                <c:pt idx="2">
                  <c:v>120553066.3</c:v>
                </c:pt>
                <c:pt idx="3">
                  <c:v>89821558.650000006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1E-4FB2-B7C6-DC39D37EC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0813087"/>
        <c:axId val="1520823167"/>
      </c:lineChart>
      <c:catAx>
        <c:axId val="15208130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0823167"/>
        <c:crosses val="autoZero"/>
        <c:auto val="1"/>
        <c:lblAlgn val="ctr"/>
        <c:lblOffset val="100"/>
        <c:noMultiLvlLbl val="0"/>
      </c:catAx>
      <c:valAx>
        <c:axId val="152082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0813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'Consulta4'!$B$1</c:f>
              <c:strCache>
                <c:ptCount val="1"/>
                <c:pt idx="0">
                  <c:v>TotalGastoViagens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'Consulta4'!$A$2:$A$5</c:f>
              <c:strCache>
                <c:ptCount val="4"/>
                <c:pt idx="0">
                  <c:v>Lula</c:v>
                </c:pt>
                <c:pt idx="1">
                  <c:v>Jair Bolsonaro</c:v>
                </c:pt>
                <c:pt idx="2">
                  <c:v>Michel Temer</c:v>
                </c:pt>
                <c:pt idx="3">
                  <c:v>Dilma Roussef</c:v>
                </c:pt>
              </c:strCache>
            </c:strRef>
          </c:cat>
          <c:val>
            <c:numRef>
              <c:f>'Consulta4'!$B$2:$B$5</c:f>
              <c:numCache>
                <c:formatCode>"R$"\ #,##0.00</c:formatCode>
                <c:ptCount val="4"/>
                <c:pt idx="0">
                  <c:v>4590836935.9899998</c:v>
                </c:pt>
                <c:pt idx="1">
                  <c:v>4271197490.4899998</c:v>
                </c:pt>
                <c:pt idx="2">
                  <c:v>3361625554.5500002</c:v>
                </c:pt>
                <c:pt idx="3">
                  <c:v>2025466849.8699999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8C-448D-BEAB-749BA8030E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0825087"/>
        <c:axId val="1520814047"/>
      </c:lineChart>
      <c:catAx>
        <c:axId val="1520825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0814047"/>
        <c:crosses val="autoZero"/>
        <c:auto val="1"/>
        <c:lblAlgn val="ctr"/>
        <c:lblOffset val="100"/>
        <c:noMultiLvlLbl val="0"/>
      </c:catAx>
      <c:valAx>
        <c:axId val="1520814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0825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[DashProjeto.xlsx]Planilha3!Tabela dinâmica16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Planilha3!$B$4:$B$5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Planilha3!$A$6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Planilha3!$B$6</c:f>
              <c:numCache>
                <c:formatCode>"R$"\ #,##0.00</c:formatCode>
                <c:ptCount val="1"/>
                <c:pt idx="0">
                  <c:v>92845668722.410004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59-463A-8869-24544B491BC2}"/>
            </c:ext>
          </c:extLst>
        </c:ser>
        <c:ser>
          <c:idx val="1"/>
          <c:order val="1"/>
          <c:tx>
            <c:strRef>
              <c:f>Planilha3!$C$4:$C$5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Planilha3!$A$6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Planilha3!$C$6</c:f>
              <c:numCache>
                <c:formatCode>"R$"\ #,##0.00</c:formatCode>
                <c:ptCount val="1"/>
                <c:pt idx="0">
                  <c:v>409936624446.09003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59-463A-8869-24544B491BC2}"/>
            </c:ext>
          </c:extLst>
        </c:ser>
        <c:ser>
          <c:idx val="2"/>
          <c:order val="2"/>
          <c:tx>
            <c:strRef>
              <c:f>Planilha3!$D$4:$D$5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Planilha3!$A$6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Planilha3!$D$6</c:f>
              <c:numCache>
                <c:formatCode>"R$"\ #,##0.00</c:formatCode>
                <c:ptCount val="1"/>
                <c:pt idx="0">
                  <c:v>158601987505.76999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59-463A-8869-24544B491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8055823"/>
        <c:axId val="1638044303"/>
      </c:barChart>
      <c:catAx>
        <c:axId val="1638055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8044303"/>
        <c:crosses val="autoZero"/>
        <c:auto val="1"/>
        <c:lblAlgn val="ctr"/>
        <c:lblOffset val="100"/>
        <c:noMultiLvlLbl val="0"/>
      </c:catAx>
      <c:valAx>
        <c:axId val="1638044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8055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[DashProjeto.xlsx]Planilha3!Tabela dinâmica17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Planilha3!$B$13:$B$14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Planilha3!$A$15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Planilha3!$B$15</c:f>
              <c:numCache>
                <c:formatCode>"R$"\ #,##0.00</c:formatCode>
                <c:ptCount val="1"/>
                <c:pt idx="0">
                  <c:v>409936624446.09003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A8-49A3-8166-6D4D3E50BA76}"/>
            </c:ext>
          </c:extLst>
        </c:ser>
        <c:ser>
          <c:idx val="1"/>
          <c:order val="1"/>
          <c:tx>
            <c:strRef>
              <c:f>Planilha3!$C$13:$C$14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Planilha3!$A$15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Planilha3!$C$15</c:f>
              <c:numCache>
                <c:formatCode>"R$"\ #,##0.00</c:formatCode>
                <c:ptCount val="1"/>
                <c:pt idx="0">
                  <c:v>158601987505.76999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A8-49A3-8166-6D4D3E50BA76}"/>
            </c:ext>
          </c:extLst>
        </c:ser>
        <c:ser>
          <c:idx val="2"/>
          <c:order val="2"/>
          <c:tx>
            <c:strRef>
              <c:f>Planilha3!$D$13:$D$14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Planilha3!$A$15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Planilha3!$D$15</c:f>
              <c:numCache>
                <c:formatCode>"R$"\ #,##0.00</c:formatCode>
                <c:ptCount val="1"/>
                <c:pt idx="0">
                  <c:v>193498113454.72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A8-49A3-8166-6D4D3E50B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8061103"/>
        <c:axId val="1638054863"/>
      </c:barChart>
      <c:catAx>
        <c:axId val="1638061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8054863"/>
        <c:crosses val="autoZero"/>
        <c:auto val="1"/>
        <c:lblAlgn val="ctr"/>
        <c:lblOffset val="100"/>
        <c:noMultiLvlLbl val="0"/>
      </c:catAx>
      <c:valAx>
        <c:axId val="163805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8061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[DashProjeto.xlsx]Planilha4!Tabela dinâmica20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Planilha4!$A$3</c:f>
              <c:strCache>
                <c:ptCount val="1"/>
                <c:pt idx="0">
                  <c:v>Soma de TotalPrePandemia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Planilha4!$A$4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Planilha4!$A$4</c:f>
              <c:numCache>
                <c:formatCode>_("R$"* #,##0.00_);_("R$"* \(#,##0.00\);_("R$"* "-"??_);_(@_)</c:formatCode>
                <c:ptCount val="1"/>
                <c:pt idx="0">
                  <c:v>14732583927.91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09-484F-A590-8E1EA90FE096}"/>
            </c:ext>
          </c:extLst>
        </c:ser>
        <c:ser>
          <c:idx val="1"/>
          <c:order val="1"/>
          <c:tx>
            <c:strRef>
              <c:f>Planilha4!$B$3</c:f>
              <c:strCache>
                <c:ptCount val="1"/>
                <c:pt idx="0">
                  <c:v>Soma de TotalDurantePandemia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Planilha4!$A$4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Planilha4!$B$4</c:f>
              <c:numCache>
                <c:formatCode>_("R$"* #,##0.00_);_("R$"* \(#,##0.00\);_("R$"* "-"??_);_(@_)</c:formatCode>
                <c:ptCount val="1"/>
                <c:pt idx="0">
                  <c:v>29723078840.029999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09-484F-A590-8E1EA90FE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8054383"/>
        <c:axId val="1638063983"/>
      </c:barChart>
      <c:catAx>
        <c:axId val="1638054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8063983"/>
        <c:crosses val="autoZero"/>
        <c:auto val="1"/>
        <c:lblAlgn val="ctr"/>
        <c:lblOffset val="100"/>
        <c:noMultiLvlLbl val="0"/>
      </c:catAx>
      <c:valAx>
        <c:axId val="1638063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8054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646657</xdr:colOff>
      <xdr:row>7</xdr:row>
      <xdr:rowOff>33977</xdr:rowOff>
    </xdr:from>
    <xdr:to>
      <xdr:col>15</xdr:col>
      <xdr:colOff>424222</xdr:colOff>
      <xdr:row>34</xdr:row>
      <xdr:rowOff>32017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6C9BAFA-516A-93EE-3B36-B33D88046B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400050</xdr:colOff>
      <xdr:row>3</xdr:row>
      <xdr:rowOff>90486</xdr:rowOff>
    </xdr:from>
    <xdr:to>
      <xdr:col>7</xdr:col>
      <xdr:colOff>400050</xdr:colOff>
      <xdr:row>21</xdr:row>
      <xdr:rowOff>133349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6DC302D-0B82-6A77-8452-2F53990329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235323</xdr:colOff>
      <xdr:row>0</xdr:row>
      <xdr:rowOff>67236</xdr:rowOff>
    </xdr:from>
    <xdr:to>
      <xdr:col>16</xdr:col>
      <xdr:colOff>560292</xdr:colOff>
      <xdr:row>24</xdr:row>
      <xdr:rowOff>156883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263205F-7A6A-F171-B4DE-9504BF7A7C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552450</xdr:colOff>
      <xdr:row>0</xdr:row>
      <xdr:rowOff>142875</xdr:rowOff>
    </xdr:from>
    <xdr:to>
      <xdr:col>15</xdr:col>
      <xdr:colOff>533400</xdr:colOff>
      <xdr:row>19</xdr:row>
      <xdr:rowOff>80963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B2A4BAC-E88A-EE9C-3B6C-DFA79672EB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612320</xdr:colOff>
      <xdr:row>0</xdr:row>
      <xdr:rowOff>190499</xdr:rowOff>
    </xdr:from>
    <xdr:to>
      <xdr:col>20</xdr:col>
      <xdr:colOff>598714</xdr:colOff>
      <xdr:row>23</xdr:row>
      <xdr:rowOff>176892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D0DCFA2-BD7D-4B95-A113-1D55B7AD50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-1</xdr:colOff>
      <xdr:row>0</xdr:row>
      <xdr:rowOff>190499</xdr:rowOff>
    </xdr:from>
    <xdr:to>
      <xdr:col>32</xdr:col>
      <xdr:colOff>598714</xdr:colOff>
      <xdr:row>24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BA12334-09CC-49EF-BB0B-CCDAA15E66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19</xdr:col>
      <xdr:colOff>235323</xdr:colOff>
      <xdr:row>23</xdr:row>
      <xdr:rowOff>44824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5B0503D-2501-415E-9959-5DE038E7DD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andro Felix" refreshedDate="45971.89774803241" createdVersion="8" refreshedVersion="8" minRefreshableVersion="3" recordCount="196" xr:uid="{80F7AB60-9BD7-4102-AD48-810F6A278068}">
  <cacheSource type="worksheet">
    <worksheetSource name="Consulta5"/>
  </cacheSource>
  <cacheFields count="8">
    <cacheField name="IdMandato" numFmtId="0">
      <sharedItems containsSemiMixedTypes="0" containsString="0" containsNumber="1" containsInteger="1" minValue="1" maxValue="4"/>
    </cacheField>
    <cacheField name="NomePresidente" numFmtId="0">
      <sharedItems count="4">
        <s v="Dilma Roussef"/>
        <s v="Michel Temer"/>
        <s v="Jair Bolsonaro"/>
        <s v="Lula"/>
      </sharedItems>
    </cacheField>
    <cacheField name="NomeFuncao" numFmtId="0">
      <sharedItems count="28">
        <s v="Administração"/>
        <s v="Agricultura"/>
        <s v="Assistência social"/>
        <s v="Ciência e Tecnologia"/>
        <s v="Comércio e serviços"/>
        <s v="Comunicações"/>
        <s v="Cultura"/>
        <s v="Defesa nacional"/>
        <s v="Desporto e lazer"/>
        <s v="Direitos da cidadania"/>
        <s v="Educação"/>
        <s v="Encargos especiais"/>
        <s v="Energia"/>
        <s v="Essencial à justiça"/>
        <s v="Gestão ambiental"/>
        <s v="Habitação"/>
        <s v="Indústria"/>
        <s v="Judiciária"/>
        <s v="Legislativa"/>
        <s v="Organização agrária"/>
        <s v="Previdência social"/>
        <s v="Relações exteriores"/>
        <s v="Saneamento"/>
        <s v="Saúde"/>
        <s v="Segurança pública"/>
        <s v="Trabalho"/>
        <s v="Transporte"/>
        <s v="Urbanismo"/>
      </sharedItems>
    </cacheField>
    <cacheField name="AnoBase" numFmtId="0">
      <sharedItems containsSemiMixedTypes="0" containsString="0" containsNumber="1" containsInteger="1" minValue="2015" maxValue="2023" count="7">
        <n v="2015"/>
        <n v="2016"/>
        <n v="2017"/>
        <n v="2019"/>
        <n v="2020"/>
        <n v="2021"/>
        <n v="2023"/>
      </sharedItems>
    </cacheField>
    <cacheField name="AnoComparado" numFmtId="0">
      <sharedItems containsSemiMixedTypes="0" containsString="0" containsNumber="1" containsInteger="1" minValue="2016" maxValue="2024" count="7">
        <n v="2016"/>
        <n v="2017"/>
        <n v="2018"/>
        <n v="2020"/>
        <n v="2021"/>
        <n v="2022"/>
        <n v="2024"/>
      </sharedItems>
    </cacheField>
    <cacheField name="TotalAnoBase" numFmtId="164">
      <sharedItems containsSemiMixedTypes="0" containsString="0" containsNumber="1" minValue="13333.34" maxValue="2408940332618.5898"/>
    </cacheField>
    <cacheField name="TotalAnoComparado" numFmtId="164">
      <sharedItems containsSemiMixedTypes="0" containsString="0" containsNumber="1" minValue="0" maxValue="2597616777802.5698"/>
    </cacheField>
    <cacheField name="PercentualVariacao" numFmtId="0">
      <sharedItems containsSemiMixedTypes="0" containsString="0" containsNumber="1" minValue="-100" maxValue="101171.76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andro Felix" refreshedDate="45971.912094560183" createdVersion="8" refreshedVersion="8" minRefreshableVersion="3" recordCount="28" xr:uid="{240E55AC-36AC-4080-A9F3-2FB382200129}">
  <cacheSource type="worksheet">
    <worksheetSource name="Consulta6"/>
  </cacheSource>
  <cacheFields count="4">
    <cacheField name="NomeFuncao" numFmtId="0">
      <sharedItems count="28">
        <s v="Assistência social"/>
        <s v="Judiciária"/>
        <s v="Comércio e serviços"/>
        <s v="Comunicações"/>
        <s v="Encargos especiais"/>
        <s v="Saneamento"/>
        <s v="Saúde"/>
        <s v="Relações exteriores"/>
        <s v="Segurança pública"/>
        <s v="Essencial à justiça"/>
        <s v="Previdência social"/>
        <s v="Agricultura"/>
        <s v="Gestão ambiental"/>
        <s v="Administração"/>
        <s v="Defesa nacional"/>
        <s v="Trabalho"/>
        <s v="Educação"/>
        <s v="Indústria"/>
        <s v="Direitos da cidadania"/>
        <s v="Urbanismo"/>
        <s v="Organização agrária"/>
        <s v="Ciência e Tecnologia"/>
        <s v="Transporte"/>
        <s v="Cultura"/>
        <s v="Desporto e lazer"/>
        <s v="Energia"/>
        <s v="Legislativa"/>
        <s v="Habitação"/>
      </sharedItems>
    </cacheField>
    <cacheField name="TotalPrePandemia" numFmtId="44">
      <sharedItems containsSemiMixedTypes="0" containsString="0" containsNumber="1" minValue="2912869.88" maxValue="1405077258983.3999"/>
    </cacheField>
    <cacheField name="TotalDurantePandemia" numFmtId="44">
      <sharedItems containsSemiMixedTypes="0" containsString="0" containsNumber="1" minValue="2484655.9700000002" maxValue="4198473374337.5"/>
    </cacheField>
    <cacheField name="PercentualVariacao" numFmtId="0">
      <sharedItems containsSemiMixedTypes="0" containsString="0" containsNumber="1" minValue="-17.187799999999999" maxValue="512.34799999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6">
  <r>
    <n v="1"/>
    <x v="0"/>
    <x v="0"/>
    <x v="0"/>
    <x v="0"/>
    <n v="21013803467.91"/>
    <n v="14248415879.200001"/>
    <n v="-32.194899999999997"/>
  </r>
  <r>
    <n v="1"/>
    <x v="0"/>
    <x v="1"/>
    <x v="0"/>
    <x v="0"/>
    <n v="18044289736.52"/>
    <n v="14308726680.98"/>
    <n v="-20.702100000000002"/>
  </r>
  <r>
    <n v="1"/>
    <x v="0"/>
    <x v="2"/>
    <x v="0"/>
    <x v="0"/>
    <n v="69189785248.779999"/>
    <n v="49252388143.309998"/>
    <n v="-28.8155"/>
  </r>
  <r>
    <n v="1"/>
    <x v="0"/>
    <x v="3"/>
    <x v="0"/>
    <x v="0"/>
    <n v="6130918269.7399998"/>
    <n v="3174057240.1399999"/>
    <n v="-48.2286"/>
  </r>
  <r>
    <n v="1"/>
    <x v="0"/>
    <x v="4"/>
    <x v="0"/>
    <x v="0"/>
    <n v="1123617671.99"/>
    <n v="1659123462.4300001"/>
    <n v="47.658999999999999"/>
  </r>
  <r>
    <n v="1"/>
    <x v="0"/>
    <x v="5"/>
    <x v="0"/>
    <x v="0"/>
    <n v="1205327613.9300001"/>
    <n v="640713097.26999998"/>
    <n v="-46.843200000000003"/>
  </r>
  <r>
    <n v="1"/>
    <x v="0"/>
    <x v="6"/>
    <x v="0"/>
    <x v="0"/>
    <n v="855170630.11000001"/>
    <n v="560191985.63999999"/>
    <n v="-34.493499999999997"/>
  </r>
  <r>
    <n v="1"/>
    <x v="0"/>
    <x v="7"/>
    <x v="0"/>
    <x v="0"/>
    <n v="33346171366.130001"/>
    <n v="33130262368.52"/>
    <n v="-0.64739999999999998"/>
  </r>
  <r>
    <n v="1"/>
    <x v="0"/>
    <x v="8"/>
    <x v="0"/>
    <x v="0"/>
    <n v="684583023.39999998"/>
    <n v="227976878.40000001"/>
    <n v="-66.698400000000007"/>
  </r>
  <r>
    <n v="1"/>
    <x v="0"/>
    <x v="9"/>
    <x v="0"/>
    <x v="0"/>
    <n v="716553122.42999995"/>
    <n v="432480011.50999999"/>
    <n v="-39.644300000000001"/>
  </r>
  <r>
    <n v="1"/>
    <x v="0"/>
    <x v="10"/>
    <x v="0"/>
    <x v="0"/>
    <n v="88600702656.740005"/>
    <n v="56311980535.139999"/>
    <n v="-36.442900000000002"/>
  </r>
  <r>
    <n v="1"/>
    <x v="0"/>
    <x v="11"/>
    <x v="0"/>
    <x v="0"/>
    <n v="1257671884003.47"/>
    <n v="951717471966.32996"/>
    <n v="-24.327000000000002"/>
  </r>
  <r>
    <n v="1"/>
    <x v="0"/>
    <x v="12"/>
    <x v="0"/>
    <x v="0"/>
    <n v="1577419985.55"/>
    <n v="612505689.16999996"/>
    <n v="-61.170400000000001"/>
  </r>
  <r>
    <n v="1"/>
    <x v="0"/>
    <x v="13"/>
    <x v="0"/>
    <x v="0"/>
    <n v="735500226.35000002"/>
    <n v="499943964.36000001"/>
    <n v="-32.026600000000002"/>
  </r>
  <r>
    <n v="1"/>
    <x v="0"/>
    <x v="14"/>
    <x v="0"/>
    <x v="0"/>
    <n v="3017743180.6900001"/>
    <n v="1588890019.6700001"/>
    <n v="-47.348399999999998"/>
  </r>
  <r>
    <n v="1"/>
    <x v="0"/>
    <x v="15"/>
    <x v="0"/>
    <x v="0"/>
    <n v="2391943.7200000002"/>
    <n v="0"/>
    <n v="-100"/>
  </r>
  <r>
    <n v="1"/>
    <x v="0"/>
    <x v="16"/>
    <x v="0"/>
    <x v="0"/>
    <n v="2632193076.8200002"/>
    <n v="1161923421.26"/>
    <n v="-55.857199999999999"/>
  </r>
  <r>
    <n v="1"/>
    <x v="0"/>
    <x v="17"/>
    <x v="0"/>
    <x v="0"/>
    <n v="3309134.57"/>
    <n v="349729.56"/>
    <n v="-89.431299999999993"/>
  </r>
  <r>
    <n v="1"/>
    <x v="0"/>
    <x v="18"/>
    <x v="0"/>
    <x v="0"/>
    <n v="781738.6"/>
    <n v="457993.31"/>
    <n v="-41.413400000000003"/>
  </r>
  <r>
    <n v="1"/>
    <x v="0"/>
    <x v="19"/>
    <x v="0"/>
    <x v="0"/>
    <n v="1656759102.29"/>
    <n v="1231342667.1800001"/>
    <n v="-25.677600000000002"/>
  </r>
  <r>
    <n v="1"/>
    <x v="0"/>
    <x v="20"/>
    <x v="0"/>
    <x v="0"/>
    <n v="504024554112.65002"/>
    <n v="337398221055.56"/>
    <n v="-33.059100000000001"/>
  </r>
  <r>
    <n v="1"/>
    <x v="0"/>
    <x v="21"/>
    <x v="0"/>
    <x v="0"/>
    <n v="3094844304.2199998"/>
    <n v="1653755373.9300001"/>
    <n v="-46.564100000000003"/>
  </r>
  <r>
    <n v="1"/>
    <x v="0"/>
    <x v="22"/>
    <x v="0"/>
    <x v="0"/>
    <n v="259588717.47999999"/>
    <n v="140697463.97999999"/>
    <n v="-45.799799999999998"/>
  </r>
  <r>
    <n v="1"/>
    <x v="0"/>
    <x v="23"/>
    <x v="0"/>
    <x v="0"/>
    <n v="93864923546.899994"/>
    <n v="61736779973.849998"/>
    <n v="-34.228000000000002"/>
  </r>
  <r>
    <n v="1"/>
    <x v="0"/>
    <x v="24"/>
    <x v="0"/>
    <x v="0"/>
    <n v="7753676460.0799999"/>
    <n v="5041396008.2399998"/>
    <n v="-34.980499999999999"/>
  </r>
  <r>
    <n v="1"/>
    <x v="0"/>
    <x v="25"/>
    <x v="0"/>
    <x v="0"/>
    <n v="65319558562.760002"/>
    <n v="52034733604.709999"/>
    <n v="-20.338200000000001"/>
  </r>
  <r>
    <n v="1"/>
    <x v="0"/>
    <x v="26"/>
    <x v="0"/>
    <x v="0"/>
    <n v="9754913514.1299992"/>
    <n v="4415195811.8699999"/>
    <n v="-54.738700000000001"/>
  </r>
  <r>
    <n v="1"/>
    <x v="0"/>
    <x v="27"/>
    <x v="0"/>
    <x v="0"/>
    <n v="1133010594.6199999"/>
    <n v="692981308.03999996"/>
    <n v="-38.8371"/>
  </r>
  <r>
    <n v="2"/>
    <x v="1"/>
    <x v="0"/>
    <x v="1"/>
    <x v="1"/>
    <n v="8962012268.4899998"/>
    <n v="26574917895.439999"/>
    <n v="196.5284"/>
  </r>
  <r>
    <n v="2"/>
    <x v="1"/>
    <x v="0"/>
    <x v="2"/>
    <x v="2"/>
    <n v="26574917895.439999"/>
    <n v="28399818704.540001"/>
    <n v="6.867"/>
  </r>
  <r>
    <n v="2"/>
    <x v="1"/>
    <x v="1"/>
    <x v="1"/>
    <x v="1"/>
    <n v="5432931932.5600004"/>
    <n v="15309417801.059999"/>
    <n v="181.78919999999999"/>
  </r>
  <r>
    <n v="2"/>
    <x v="1"/>
    <x v="1"/>
    <x v="2"/>
    <x v="2"/>
    <n v="15309417801.059999"/>
    <n v="15860183302.200001"/>
    <n v="3.5975000000000001"/>
  </r>
  <r>
    <n v="2"/>
    <x v="1"/>
    <x v="2"/>
    <x v="1"/>
    <x v="1"/>
    <n v="28312911013.130001"/>
    <n v="83092410148.940002"/>
    <n v="193.47880000000001"/>
  </r>
  <r>
    <n v="2"/>
    <x v="1"/>
    <x v="2"/>
    <x v="2"/>
    <x v="2"/>
    <n v="83092410148.940002"/>
    <n v="85896620680.369995"/>
    <n v="3.3748"/>
  </r>
  <r>
    <n v="2"/>
    <x v="1"/>
    <x v="3"/>
    <x v="1"/>
    <x v="1"/>
    <n v="2952342027.6300001"/>
    <n v="6343391142.5600004"/>
    <n v="114.8596"/>
  </r>
  <r>
    <n v="2"/>
    <x v="1"/>
    <x v="3"/>
    <x v="2"/>
    <x v="2"/>
    <n v="6343391142.5600004"/>
    <n v="6482826000.9200001"/>
    <n v="2.1981000000000002"/>
  </r>
  <r>
    <n v="2"/>
    <x v="1"/>
    <x v="4"/>
    <x v="1"/>
    <x v="1"/>
    <n v="739897448.53999996"/>
    <n v="2136136452.0799999"/>
    <n v="188.70699999999999"/>
  </r>
  <r>
    <n v="2"/>
    <x v="1"/>
    <x v="4"/>
    <x v="2"/>
    <x v="2"/>
    <n v="2136136452.0799999"/>
    <n v="2712252943.3800001"/>
    <n v="26.97"/>
  </r>
  <r>
    <n v="2"/>
    <x v="1"/>
    <x v="5"/>
    <x v="1"/>
    <x v="1"/>
    <n v="691800357.59000003"/>
    <n v="1156929611.1099999"/>
    <n v="67.2346"/>
  </r>
  <r>
    <n v="2"/>
    <x v="1"/>
    <x v="5"/>
    <x v="2"/>
    <x v="2"/>
    <n v="1156929611.1099999"/>
    <n v="1167687933.98"/>
    <n v="0.92989999999999995"/>
  </r>
  <r>
    <n v="2"/>
    <x v="1"/>
    <x v="6"/>
    <x v="1"/>
    <x v="1"/>
    <n v="391330634.22000003"/>
    <n v="1020634929.61"/>
    <n v="160.81139999999999"/>
  </r>
  <r>
    <n v="2"/>
    <x v="1"/>
    <x v="6"/>
    <x v="2"/>
    <x v="2"/>
    <n v="1020634929.61"/>
    <n v="988614887.89999998"/>
    <n v="-3.1372"/>
  </r>
  <r>
    <n v="2"/>
    <x v="1"/>
    <x v="7"/>
    <x v="1"/>
    <x v="1"/>
    <n v="24140935938.049999"/>
    <n v="63164587760.959999"/>
    <n v="161.64920000000001"/>
  </r>
  <r>
    <n v="2"/>
    <x v="1"/>
    <x v="7"/>
    <x v="2"/>
    <x v="2"/>
    <n v="63164587760.959999"/>
    <n v="67417523363.32"/>
    <n v="6.7331000000000003"/>
  </r>
  <r>
    <n v="2"/>
    <x v="1"/>
    <x v="8"/>
    <x v="1"/>
    <x v="1"/>
    <n v="277746956.11000001"/>
    <n v="316362081.75"/>
    <n v="13.902900000000001"/>
  </r>
  <r>
    <n v="2"/>
    <x v="1"/>
    <x v="8"/>
    <x v="2"/>
    <x v="2"/>
    <n v="316362081.75"/>
    <n v="267903040.28999999"/>
    <n v="-15.317500000000001"/>
  </r>
  <r>
    <n v="2"/>
    <x v="1"/>
    <x v="9"/>
    <x v="1"/>
    <x v="1"/>
    <n v="1405985808.3900001"/>
    <n v="1423504565.9400001"/>
    <n v="1.246"/>
  </r>
  <r>
    <n v="2"/>
    <x v="1"/>
    <x v="9"/>
    <x v="2"/>
    <x v="2"/>
    <n v="1423504565.9400001"/>
    <n v="901728713.53999996"/>
    <n v="-36.654299999999999"/>
  </r>
  <r>
    <n v="2"/>
    <x v="1"/>
    <x v="10"/>
    <x v="1"/>
    <x v="1"/>
    <n v="38872485858.589996"/>
    <n v="101815636008"/>
    <n v="161.9221"/>
  </r>
  <r>
    <n v="2"/>
    <x v="1"/>
    <x v="10"/>
    <x v="2"/>
    <x v="2"/>
    <n v="101815636008"/>
    <n v="95590471550.919998"/>
    <n v="-6.1140999999999996"/>
  </r>
  <r>
    <n v="2"/>
    <x v="1"/>
    <x v="11"/>
    <x v="1"/>
    <x v="1"/>
    <n v="478249169087.46002"/>
    <n v="1260605427591.3601"/>
    <n v="163.58750000000001"/>
  </r>
  <r>
    <n v="2"/>
    <x v="1"/>
    <x v="11"/>
    <x v="2"/>
    <x v="2"/>
    <n v="1260605427591.3601"/>
    <n v="1374288385528.74"/>
    <n v="9.0181000000000004"/>
  </r>
  <r>
    <n v="2"/>
    <x v="1"/>
    <x v="12"/>
    <x v="1"/>
    <x v="1"/>
    <n v="1092863794.8900001"/>
    <n v="1798372044.1500001"/>
    <n v="64.555899999999994"/>
  </r>
  <r>
    <n v="2"/>
    <x v="1"/>
    <x v="12"/>
    <x v="2"/>
    <x v="2"/>
    <n v="1798372044.1500001"/>
    <n v="1827181463.54"/>
    <n v="1.6019000000000001"/>
  </r>
  <r>
    <n v="2"/>
    <x v="1"/>
    <x v="13"/>
    <x v="1"/>
    <x v="1"/>
    <n v="300546539.38999999"/>
    <n v="816741209.90999997"/>
    <n v="171.75190000000001"/>
  </r>
  <r>
    <n v="2"/>
    <x v="1"/>
    <x v="13"/>
    <x v="2"/>
    <x v="2"/>
    <n v="816741209.90999997"/>
    <n v="734425748.82000005"/>
    <n v="-10.0785"/>
  </r>
  <r>
    <n v="2"/>
    <x v="1"/>
    <x v="14"/>
    <x v="1"/>
    <x v="1"/>
    <n v="1818769276.24"/>
    <n v="3103208358.4099998"/>
    <n v="70.621300000000005"/>
  </r>
  <r>
    <n v="2"/>
    <x v="1"/>
    <x v="14"/>
    <x v="2"/>
    <x v="2"/>
    <n v="3103208358.4099998"/>
    <n v="3472165707.2800002"/>
    <n v="11.8895"/>
  </r>
  <r>
    <n v="2"/>
    <x v="1"/>
    <x v="15"/>
    <x v="1"/>
    <x v="1"/>
    <n v="9405847.4000000004"/>
    <n v="6221014.3499999996"/>
    <n v="-33.860100000000003"/>
  </r>
  <r>
    <n v="2"/>
    <x v="1"/>
    <x v="15"/>
    <x v="2"/>
    <x v="2"/>
    <n v="6221014.3499999996"/>
    <n v="5675724.3899999997"/>
    <n v="-8.7652000000000001"/>
  </r>
  <r>
    <n v="2"/>
    <x v="1"/>
    <x v="16"/>
    <x v="1"/>
    <x v="1"/>
    <n v="919174181.15999997"/>
    <n v="2161591657.46"/>
    <n v="135.16669999999999"/>
  </r>
  <r>
    <n v="2"/>
    <x v="1"/>
    <x v="16"/>
    <x v="2"/>
    <x v="2"/>
    <n v="2161591657.46"/>
    <n v="2023224824.0799999"/>
    <n v="-6.4010999999999996"/>
  </r>
  <r>
    <n v="2"/>
    <x v="1"/>
    <x v="17"/>
    <x v="1"/>
    <x v="1"/>
    <n v="31102535.629999999"/>
    <n v="21401411.84"/>
    <n v="-31.1907"/>
  </r>
  <r>
    <n v="2"/>
    <x v="1"/>
    <x v="17"/>
    <x v="2"/>
    <x v="2"/>
    <n v="21401411.84"/>
    <n v="41927400.969999999"/>
    <n v="95.909499999999994"/>
  </r>
  <r>
    <n v="2"/>
    <x v="1"/>
    <x v="18"/>
    <x v="1"/>
    <x v="1"/>
    <n v="618913.21"/>
    <n v="1348077.71"/>
    <n v="117.81359999999999"/>
  </r>
  <r>
    <n v="2"/>
    <x v="1"/>
    <x v="18"/>
    <x v="2"/>
    <x v="2"/>
    <n v="1348077.71"/>
    <n v="1839636.09"/>
    <n v="36.4636"/>
  </r>
  <r>
    <n v="2"/>
    <x v="1"/>
    <x v="19"/>
    <x v="1"/>
    <x v="1"/>
    <n v="1068857579.63"/>
    <n v="1821925242.29"/>
    <n v="70.455299999999994"/>
  </r>
  <r>
    <n v="2"/>
    <x v="1"/>
    <x v="19"/>
    <x v="2"/>
    <x v="2"/>
    <n v="1821925242.29"/>
    <n v="1567985366.51"/>
    <n v="-13.937900000000001"/>
  </r>
  <r>
    <n v="2"/>
    <x v="1"/>
    <x v="20"/>
    <x v="1"/>
    <x v="1"/>
    <n v="230988963272.95001"/>
    <n v="624390638958.39001"/>
    <n v="170.31180000000001"/>
  </r>
  <r>
    <n v="2"/>
    <x v="1"/>
    <x v="20"/>
    <x v="2"/>
    <x v="2"/>
    <n v="624390638958.39001"/>
    <n v="629162663401.53003"/>
    <n v="0.76419999999999999"/>
  </r>
  <r>
    <n v="2"/>
    <x v="1"/>
    <x v="21"/>
    <x v="1"/>
    <x v="1"/>
    <n v="1149486019.9300001"/>
    <n v="2896387732.3899999"/>
    <n v="151.97239999999999"/>
  </r>
  <r>
    <n v="2"/>
    <x v="1"/>
    <x v="21"/>
    <x v="2"/>
    <x v="2"/>
    <n v="2896387732.3899999"/>
    <n v="3123472375.1999998"/>
    <n v="7.8402000000000003"/>
  </r>
  <r>
    <n v="2"/>
    <x v="1"/>
    <x v="22"/>
    <x v="1"/>
    <x v="1"/>
    <n v="268320806.84"/>
    <n v="714602964.13999999"/>
    <n v="166.32400000000001"/>
  </r>
  <r>
    <n v="2"/>
    <x v="1"/>
    <x v="22"/>
    <x v="2"/>
    <x v="2"/>
    <n v="714602964.13999999"/>
    <n v="558409625.47000003"/>
    <n v="-21.857299999999999"/>
  </r>
  <r>
    <n v="2"/>
    <x v="1"/>
    <x v="23"/>
    <x v="1"/>
    <x v="1"/>
    <n v="38453825333.980003"/>
    <n v="102713827690.67999"/>
    <n v="167.1095"/>
  </r>
  <r>
    <n v="2"/>
    <x v="1"/>
    <x v="23"/>
    <x v="2"/>
    <x v="2"/>
    <n v="102713827690.67999"/>
    <n v="108179156538.17"/>
    <n v="5.3209"/>
  </r>
  <r>
    <n v="2"/>
    <x v="1"/>
    <x v="24"/>
    <x v="1"/>
    <x v="1"/>
    <n v="3381705059.3899999"/>
    <n v="9133214442.0599995"/>
    <n v="170.0772"/>
  </r>
  <r>
    <n v="2"/>
    <x v="1"/>
    <x v="24"/>
    <x v="2"/>
    <x v="2"/>
    <n v="9133214442.0599995"/>
    <n v="8820097777.8799992"/>
    <n v="-3.4283000000000001"/>
  </r>
  <r>
    <n v="2"/>
    <x v="1"/>
    <x v="25"/>
    <x v="1"/>
    <x v="1"/>
    <n v="18007724269.009998"/>
    <n v="69304605803.360001"/>
    <n v="284.86040000000003"/>
  </r>
  <r>
    <n v="2"/>
    <x v="1"/>
    <x v="25"/>
    <x v="2"/>
    <x v="2"/>
    <n v="69304605803.360001"/>
    <n v="70289150438.380005"/>
    <n v="1.4206000000000001"/>
  </r>
  <r>
    <n v="2"/>
    <x v="1"/>
    <x v="26"/>
    <x v="1"/>
    <x v="1"/>
    <n v="5658785540.6300001"/>
    <n v="10913109164.52"/>
    <n v="92.852400000000003"/>
  </r>
  <r>
    <n v="2"/>
    <x v="1"/>
    <x v="26"/>
    <x v="2"/>
    <x v="2"/>
    <n v="10913109164.52"/>
    <n v="11459288587.610001"/>
    <n v="5.0048000000000004"/>
  </r>
  <r>
    <n v="2"/>
    <x v="1"/>
    <x v="27"/>
    <x v="1"/>
    <x v="1"/>
    <n v="835656313.23000002"/>
    <n v="1843890667.3599999"/>
    <n v="120.65170000000001"/>
  </r>
  <r>
    <n v="2"/>
    <x v="1"/>
    <x v="27"/>
    <x v="2"/>
    <x v="2"/>
    <n v="1843890667.3599999"/>
    <n v="1604573266.79"/>
    <n v="-12.978899999999999"/>
  </r>
  <r>
    <n v="3"/>
    <x v="2"/>
    <x v="0"/>
    <x v="3"/>
    <x v="3"/>
    <n v="25614927067.959999"/>
    <n v="25725783038.849998"/>
    <n v="0.43269999999999997"/>
  </r>
  <r>
    <n v="3"/>
    <x v="2"/>
    <x v="0"/>
    <x v="4"/>
    <x v="4"/>
    <n v="25725783038.849998"/>
    <n v="25076584356.09"/>
    <n v="-2.5234999999999999"/>
  </r>
  <r>
    <n v="3"/>
    <x v="2"/>
    <x v="0"/>
    <x v="5"/>
    <x v="5"/>
    <n v="25076584356.09"/>
    <n v="24768165621.09"/>
    <n v="-1.2299"/>
  </r>
  <r>
    <n v="3"/>
    <x v="2"/>
    <x v="1"/>
    <x v="3"/>
    <x v="3"/>
    <n v="14732583927.91"/>
    <n v="13046656218.33"/>
    <n v="-11.4435"/>
  </r>
  <r>
    <n v="3"/>
    <x v="2"/>
    <x v="1"/>
    <x v="4"/>
    <x v="4"/>
    <n v="13046656218.33"/>
    <n v="16676422621.700001"/>
    <n v="27.821400000000001"/>
  </r>
  <r>
    <n v="3"/>
    <x v="2"/>
    <x v="1"/>
    <x v="5"/>
    <x v="5"/>
    <n v="16676422621.700001"/>
    <n v="22028561896.330002"/>
    <n v="32.094000000000001"/>
  </r>
  <r>
    <n v="3"/>
    <x v="2"/>
    <x v="2"/>
    <x v="3"/>
    <x v="3"/>
    <n v="92845668722.410004"/>
    <n v="409936624446.09003"/>
    <n v="341.5247"/>
  </r>
  <r>
    <n v="3"/>
    <x v="2"/>
    <x v="2"/>
    <x v="4"/>
    <x v="4"/>
    <n v="409936624446.09003"/>
    <n v="158601987505.76999"/>
    <n v="-61.310600000000001"/>
  </r>
  <r>
    <n v="3"/>
    <x v="2"/>
    <x v="2"/>
    <x v="5"/>
    <x v="5"/>
    <n v="158601987505.76999"/>
    <n v="193498113454.72"/>
    <n v="22.002300000000002"/>
  </r>
  <r>
    <n v="3"/>
    <x v="2"/>
    <x v="3"/>
    <x v="3"/>
    <x v="3"/>
    <n v="6370731244.8100004"/>
    <n v="6214310662.9799995"/>
    <n v="-2.4552999999999998"/>
  </r>
  <r>
    <n v="3"/>
    <x v="2"/>
    <x v="3"/>
    <x v="4"/>
    <x v="4"/>
    <n v="6214310662.9799995"/>
    <n v="4641885734.29"/>
    <n v="-25.3032"/>
  </r>
  <r>
    <n v="3"/>
    <x v="2"/>
    <x v="3"/>
    <x v="5"/>
    <x v="5"/>
    <n v="4641885734.29"/>
    <n v="8251469372.1999998"/>
    <n v="77.761099999999999"/>
  </r>
  <r>
    <n v="3"/>
    <x v="2"/>
    <x v="4"/>
    <x v="3"/>
    <x v="3"/>
    <n v="1849307025.6500001"/>
    <n v="5010965295.1599998"/>
    <n v="170.96440000000001"/>
  </r>
  <r>
    <n v="3"/>
    <x v="2"/>
    <x v="4"/>
    <x v="4"/>
    <x v="4"/>
    <n v="5010965295.1599998"/>
    <n v="1720873403.6900001"/>
    <n v="-65.657799999999995"/>
  </r>
  <r>
    <n v="3"/>
    <x v="2"/>
    <x v="4"/>
    <x v="5"/>
    <x v="5"/>
    <n v="1720873403.6900001"/>
    <n v="1514588691.99"/>
    <n v="-11.9872"/>
  </r>
  <r>
    <n v="3"/>
    <x v="2"/>
    <x v="5"/>
    <x v="3"/>
    <x v="3"/>
    <n v="1185519728.5599999"/>
    <n v="1575257529.8199999"/>
    <n v="32.8748"/>
  </r>
  <r>
    <n v="3"/>
    <x v="2"/>
    <x v="5"/>
    <x v="4"/>
    <x v="4"/>
    <n v="1575257529.8199999"/>
    <n v="2160598237.25"/>
    <n v="37.1584"/>
  </r>
  <r>
    <n v="3"/>
    <x v="2"/>
    <x v="5"/>
    <x v="5"/>
    <x v="5"/>
    <n v="2160598237.25"/>
    <n v="3140080860.6100001"/>
    <n v="45.333799999999997"/>
  </r>
  <r>
    <n v="3"/>
    <x v="2"/>
    <x v="6"/>
    <x v="3"/>
    <x v="3"/>
    <n v="742439073.85000002"/>
    <n v="608669310.62"/>
    <n v="-18.017600000000002"/>
  </r>
  <r>
    <n v="3"/>
    <x v="2"/>
    <x v="6"/>
    <x v="4"/>
    <x v="4"/>
    <n v="608669310.62"/>
    <n v="620115145.87"/>
    <n v="1.8804000000000001"/>
  </r>
  <r>
    <n v="3"/>
    <x v="2"/>
    <x v="6"/>
    <x v="5"/>
    <x v="5"/>
    <n v="620115145.87"/>
    <n v="598807315.75999999"/>
    <n v="-3.4361000000000002"/>
  </r>
  <r>
    <n v="3"/>
    <x v="2"/>
    <x v="7"/>
    <x v="3"/>
    <x v="3"/>
    <n v="75278095047.289993"/>
    <n v="73213062751.690002"/>
    <n v="-2.7431999999999999"/>
  </r>
  <r>
    <n v="3"/>
    <x v="2"/>
    <x v="7"/>
    <x v="4"/>
    <x v="4"/>
    <n v="73213062751.690002"/>
    <n v="74746789886.449997"/>
    <n v="2.0948000000000002"/>
  </r>
  <r>
    <n v="3"/>
    <x v="2"/>
    <x v="7"/>
    <x v="5"/>
    <x v="5"/>
    <n v="74746789886.449997"/>
    <n v="78015333014.410004"/>
    <n v="4.3727999999999998"/>
  </r>
  <r>
    <n v="3"/>
    <x v="2"/>
    <x v="8"/>
    <x v="3"/>
    <x v="3"/>
    <n v="232152337.50999999"/>
    <n v="98729061.480000004"/>
    <n v="-57.472200000000001"/>
  </r>
  <r>
    <n v="3"/>
    <x v="2"/>
    <x v="8"/>
    <x v="4"/>
    <x v="4"/>
    <n v="98729061.480000004"/>
    <n v="213892367.63999999"/>
    <n v="116.64579999999999"/>
  </r>
  <r>
    <n v="3"/>
    <x v="2"/>
    <x v="8"/>
    <x v="5"/>
    <x v="5"/>
    <n v="213892367.63999999"/>
    <n v="289016132.43000001"/>
    <n v="35.122199999999999"/>
  </r>
  <r>
    <n v="3"/>
    <x v="2"/>
    <x v="9"/>
    <x v="3"/>
    <x v="3"/>
    <n v="891804303.82000005"/>
    <n v="945220179.87"/>
    <n v="5.9896000000000003"/>
  </r>
  <r>
    <n v="3"/>
    <x v="2"/>
    <x v="9"/>
    <x v="4"/>
    <x v="4"/>
    <n v="945220179.87"/>
    <n v="661687404.02999997"/>
    <n v="-29.996400000000001"/>
  </r>
  <r>
    <n v="3"/>
    <x v="2"/>
    <x v="9"/>
    <x v="5"/>
    <x v="5"/>
    <n v="661687404.02999997"/>
    <n v="723548287.63999999"/>
    <n v="9.3489000000000004"/>
  </r>
  <r>
    <n v="3"/>
    <x v="2"/>
    <x v="10"/>
    <x v="3"/>
    <x v="3"/>
    <n v="94473991504.979996"/>
    <n v="88075683998.619995"/>
    <n v="-6.7725"/>
  </r>
  <r>
    <n v="3"/>
    <x v="2"/>
    <x v="10"/>
    <x v="4"/>
    <x v="4"/>
    <n v="88075683998.619995"/>
    <n v="96055710789.350006"/>
    <n v="9.0603999999999996"/>
  </r>
  <r>
    <n v="3"/>
    <x v="2"/>
    <x v="10"/>
    <x v="5"/>
    <x v="5"/>
    <n v="96055710789.350006"/>
    <n v="109777753771.73"/>
    <n v="14.285500000000001"/>
  </r>
  <r>
    <n v="3"/>
    <x v="2"/>
    <x v="11"/>
    <x v="3"/>
    <x v="3"/>
    <n v="1405077258983.3999"/>
    <n v="1833786888688.24"/>
    <n v="30.511399999999998"/>
  </r>
  <r>
    <n v="3"/>
    <x v="2"/>
    <x v="11"/>
    <x v="4"/>
    <x v="4"/>
    <n v="1833786888688.24"/>
    <n v="2364686485649.2598"/>
    <n v="28.950900000000001"/>
  </r>
  <r>
    <n v="3"/>
    <x v="2"/>
    <x v="11"/>
    <x v="5"/>
    <x v="5"/>
    <n v="2364686485649.2598"/>
    <n v="2397916408155.27"/>
    <n v="1.4052"/>
  </r>
  <r>
    <n v="3"/>
    <x v="2"/>
    <x v="12"/>
    <x v="3"/>
    <x v="3"/>
    <n v="2337912687.3699999"/>
    <n v="1374027673.8900001"/>
    <n v="-41.228400000000001"/>
  </r>
  <r>
    <n v="3"/>
    <x v="2"/>
    <x v="12"/>
    <x v="4"/>
    <x v="4"/>
    <n v="1374027673.8900001"/>
    <n v="1648173458.2"/>
    <n v="19.951899999999998"/>
  </r>
  <r>
    <n v="3"/>
    <x v="2"/>
    <x v="12"/>
    <x v="5"/>
    <x v="5"/>
    <n v="1648173458.2"/>
    <n v="1320496372.51"/>
    <n v="-19.8812"/>
  </r>
  <r>
    <n v="3"/>
    <x v="2"/>
    <x v="13"/>
    <x v="3"/>
    <x v="3"/>
    <n v="742284492.91999996"/>
    <n v="800437347.32000005"/>
    <n v="7.8342999999999998"/>
  </r>
  <r>
    <n v="3"/>
    <x v="2"/>
    <x v="13"/>
    <x v="4"/>
    <x v="4"/>
    <n v="800437347.32000005"/>
    <n v="830527968.47000003"/>
    <n v="3.7591999999999999"/>
  </r>
  <r>
    <n v="3"/>
    <x v="2"/>
    <x v="13"/>
    <x v="5"/>
    <x v="5"/>
    <n v="830527968.47000003"/>
    <n v="898850265"/>
    <n v="8.2263000000000002"/>
  </r>
  <r>
    <n v="3"/>
    <x v="2"/>
    <x v="14"/>
    <x v="3"/>
    <x v="3"/>
    <n v="3264927487.7399998"/>
    <n v="3533183400.9299998"/>
    <n v="8.2162000000000006"/>
  </r>
  <r>
    <n v="3"/>
    <x v="2"/>
    <x v="14"/>
    <x v="4"/>
    <x v="4"/>
    <n v="3533183400.9299998"/>
    <n v="2999243626.0999999"/>
    <n v="-15.1121"/>
  </r>
  <r>
    <n v="3"/>
    <x v="2"/>
    <x v="14"/>
    <x v="5"/>
    <x v="5"/>
    <n v="2999243626.0999999"/>
    <n v="2945711179.3600001"/>
    <n v="-1.7847999999999999"/>
  </r>
  <r>
    <n v="3"/>
    <x v="2"/>
    <x v="15"/>
    <x v="3"/>
    <x v="3"/>
    <n v="4925414.1100000003"/>
    <n v="1971878.19"/>
    <n v="-59.965200000000003"/>
  </r>
  <r>
    <n v="3"/>
    <x v="2"/>
    <x v="15"/>
    <x v="4"/>
    <x v="4"/>
    <n v="1971878.19"/>
    <n v="2106963.46"/>
    <n v="6.8505000000000003"/>
  </r>
  <r>
    <n v="3"/>
    <x v="2"/>
    <x v="15"/>
    <x v="5"/>
    <x v="5"/>
    <n v="2106963.46"/>
    <n v="2549748.96"/>
    <n v="21.0153"/>
  </r>
  <r>
    <n v="3"/>
    <x v="2"/>
    <x v="16"/>
    <x v="3"/>
    <x v="3"/>
    <n v="1703569178.6800001"/>
    <n v="1566371141.74"/>
    <n v="-8.0534999999999997"/>
  </r>
  <r>
    <n v="3"/>
    <x v="2"/>
    <x v="16"/>
    <x v="4"/>
    <x v="4"/>
    <n v="1566371141.74"/>
    <n v="1570794085.0699999"/>
    <n v="0.2823"/>
  </r>
  <r>
    <n v="3"/>
    <x v="2"/>
    <x v="16"/>
    <x v="5"/>
    <x v="5"/>
    <n v="1570794085.0699999"/>
    <n v="1677609941.3299999"/>
    <n v="6.8000999999999996"/>
  </r>
  <r>
    <n v="3"/>
    <x v="2"/>
    <x v="17"/>
    <x v="3"/>
    <x v="3"/>
    <n v="6368691.9100000001"/>
    <n v="19291747.66"/>
    <n v="202.9153"/>
  </r>
  <r>
    <n v="3"/>
    <x v="2"/>
    <x v="17"/>
    <x v="4"/>
    <x v="4"/>
    <n v="19291747.66"/>
    <n v="14409663.82"/>
    <n v="-25.3065"/>
  </r>
  <r>
    <n v="3"/>
    <x v="2"/>
    <x v="17"/>
    <x v="5"/>
    <x v="5"/>
    <n v="14409663.82"/>
    <n v="115206776.59999999"/>
    <n v="699.51049999999998"/>
  </r>
  <r>
    <n v="3"/>
    <x v="2"/>
    <x v="18"/>
    <x v="3"/>
    <x v="3"/>
    <n v="2912869.88"/>
    <n v="1622352.71"/>
    <n v="-44.303899999999999"/>
  </r>
  <r>
    <n v="3"/>
    <x v="2"/>
    <x v="18"/>
    <x v="4"/>
    <x v="4"/>
    <n v="1622352.71"/>
    <n v="862303.26"/>
    <n v="-46.848500000000001"/>
  </r>
  <r>
    <n v="3"/>
    <x v="2"/>
    <x v="18"/>
    <x v="5"/>
    <x v="5"/>
    <n v="862303.26"/>
    <n v="1782137.97"/>
    <n v="106.6718"/>
  </r>
  <r>
    <n v="3"/>
    <x v="2"/>
    <x v="19"/>
    <x v="3"/>
    <x v="3"/>
    <n v="1374869273.3599999"/>
    <n v="1326961323.8699999"/>
    <n v="-3.4845000000000002"/>
  </r>
  <r>
    <n v="3"/>
    <x v="2"/>
    <x v="19"/>
    <x v="4"/>
    <x v="4"/>
    <n v="1326961323.8699999"/>
    <n v="1016758860.05"/>
    <n v="-23.376899999999999"/>
  </r>
  <r>
    <n v="3"/>
    <x v="2"/>
    <x v="19"/>
    <x v="5"/>
    <x v="5"/>
    <n v="1016758860.05"/>
    <n v="1429923782.97"/>
    <n v="40.635399999999997"/>
  </r>
  <r>
    <n v="3"/>
    <x v="2"/>
    <x v="20"/>
    <x v="3"/>
    <x v="3"/>
    <n v="668956309752.29004"/>
    <n v="703143073989.38"/>
    <n v="5.1104000000000003"/>
  </r>
  <r>
    <n v="3"/>
    <x v="2"/>
    <x v="20"/>
    <x v="4"/>
    <x v="4"/>
    <n v="703143073989.38"/>
    <n v="740199065240.18005"/>
    <n v="5.27"/>
  </r>
  <r>
    <n v="3"/>
    <x v="2"/>
    <x v="20"/>
    <x v="5"/>
    <x v="5"/>
    <n v="740199065240.18005"/>
    <n v="824009345150.40002"/>
    <n v="11.3226"/>
  </r>
  <r>
    <n v="3"/>
    <x v="2"/>
    <x v="21"/>
    <x v="3"/>
    <x v="3"/>
    <n v="3192615444.2800002"/>
    <n v="3800146507.3800001"/>
    <n v="19.029199999999999"/>
  </r>
  <r>
    <n v="3"/>
    <x v="2"/>
    <x v="21"/>
    <x v="4"/>
    <x v="4"/>
    <n v="3800146507.3800001"/>
    <n v="3812170565.8499999"/>
    <n v="0.31640000000000001"/>
  </r>
  <r>
    <n v="3"/>
    <x v="2"/>
    <x v="21"/>
    <x v="5"/>
    <x v="5"/>
    <n v="3812170565.8499999"/>
    <n v="3870017253.3000002"/>
    <n v="1.5174000000000001"/>
  </r>
  <r>
    <n v="3"/>
    <x v="2"/>
    <x v="22"/>
    <x v="3"/>
    <x v="3"/>
    <n v="450742891.48000002"/>
    <n v="788948145.46000004"/>
    <n v="75.032799999999995"/>
  </r>
  <r>
    <n v="3"/>
    <x v="2"/>
    <x v="22"/>
    <x v="4"/>
    <x v="4"/>
    <n v="788948145.46000004"/>
    <n v="445521729.76999998"/>
    <n v="-43.529600000000002"/>
  </r>
  <r>
    <n v="3"/>
    <x v="2"/>
    <x v="22"/>
    <x v="5"/>
    <x v="5"/>
    <n v="445521729.76999998"/>
    <n v="290903224.39999998"/>
    <n v="-34.704999999999998"/>
  </r>
  <r>
    <n v="3"/>
    <x v="2"/>
    <x v="23"/>
    <x v="3"/>
    <x v="3"/>
    <n v="114182117694.52"/>
    <n v="150462970240.45999"/>
    <n v="31.7745"/>
  </r>
  <r>
    <n v="3"/>
    <x v="2"/>
    <x v="23"/>
    <x v="4"/>
    <x v="4"/>
    <n v="150462970240.45999"/>
    <n v="161436188575.45999"/>
    <n v="7.2929000000000004"/>
  </r>
  <r>
    <n v="3"/>
    <x v="2"/>
    <x v="23"/>
    <x v="5"/>
    <x v="5"/>
    <n v="161436188575.45999"/>
    <n v="136849614740.07001"/>
    <n v="-15.229900000000001"/>
  </r>
  <r>
    <n v="3"/>
    <x v="2"/>
    <x v="24"/>
    <x v="3"/>
    <x v="3"/>
    <n v="9017613631.2700005"/>
    <n v="10717162762.18"/>
    <n v="18.846900000000002"/>
  </r>
  <r>
    <n v="3"/>
    <x v="2"/>
    <x v="24"/>
    <x v="4"/>
    <x v="4"/>
    <n v="10717162762.18"/>
    <n v="10440917761.49"/>
    <n v="-2.5775000000000001"/>
  </r>
  <r>
    <n v="3"/>
    <x v="2"/>
    <x v="24"/>
    <x v="5"/>
    <x v="5"/>
    <n v="10440917761.49"/>
    <n v="11728614168.48"/>
    <n v="12.3331"/>
  </r>
  <r>
    <n v="3"/>
    <x v="2"/>
    <x v="25"/>
    <x v="3"/>
    <x v="3"/>
    <n v="72477067942.770004"/>
    <n v="75873299767.190002"/>
    <n v="4.6859000000000002"/>
  </r>
  <r>
    <n v="3"/>
    <x v="2"/>
    <x v="25"/>
    <x v="4"/>
    <x v="4"/>
    <n v="75873299767.190002"/>
    <n v="65836217120.129997"/>
    <n v="-13.2287"/>
  </r>
  <r>
    <n v="3"/>
    <x v="2"/>
    <x v="25"/>
    <x v="5"/>
    <x v="5"/>
    <n v="65836217120.129997"/>
    <n v="92609591554.009995"/>
    <n v="40.666600000000003"/>
  </r>
  <r>
    <n v="3"/>
    <x v="2"/>
    <x v="26"/>
    <x v="3"/>
    <x v="3"/>
    <n v="8670935342.8299999"/>
    <n v="7887985814.79"/>
    <n v="-9.0295000000000005"/>
  </r>
  <r>
    <n v="3"/>
    <x v="2"/>
    <x v="26"/>
    <x v="4"/>
    <x v="4"/>
    <n v="7887985814.79"/>
    <n v="6551799322.2200003"/>
    <n v="-16.939499999999999"/>
  </r>
  <r>
    <n v="3"/>
    <x v="2"/>
    <x v="26"/>
    <x v="5"/>
    <x v="5"/>
    <n v="6551799322.2200003"/>
    <n v="7727262351.0200005"/>
    <n v="17.940999999999999"/>
  </r>
  <r>
    <n v="3"/>
    <x v="2"/>
    <x v="27"/>
    <x v="3"/>
    <x v="3"/>
    <n v="1352131178.7"/>
    <n v="1250144946.01"/>
    <n v="-7.5426000000000002"/>
  </r>
  <r>
    <n v="3"/>
    <x v="2"/>
    <x v="27"/>
    <x v="4"/>
    <x v="4"/>
    <n v="1250144946.01"/>
    <n v="1120796920.5899999"/>
    <n v="-10.3466"/>
  </r>
  <r>
    <n v="3"/>
    <x v="2"/>
    <x v="27"/>
    <x v="5"/>
    <x v="5"/>
    <n v="1120796920.5899999"/>
    <n v="1376066883.6199999"/>
    <n v="22.775700000000001"/>
  </r>
  <r>
    <n v="4"/>
    <x v="3"/>
    <x v="0"/>
    <x v="6"/>
    <x v="6"/>
    <n v="25295385524.52"/>
    <n v="24915510263.990002"/>
    <n v="-1.5017"/>
  </r>
  <r>
    <n v="4"/>
    <x v="3"/>
    <x v="1"/>
    <x v="6"/>
    <x v="6"/>
    <n v="21328515167.860001"/>
    <n v="20372423122.68"/>
    <n v="-4.4825999999999997"/>
  </r>
  <r>
    <n v="4"/>
    <x v="3"/>
    <x v="2"/>
    <x v="6"/>
    <x v="6"/>
    <n v="261279613885.10001"/>
    <n v="278169600281.03003"/>
    <n v="6.4642999999999997"/>
  </r>
  <r>
    <n v="4"/>
    <x v="3"/>
    <x v="3"/>
    <x v="6"/>
    <x v="6"/>
    <n v="12502567872.41"/>
    <n v="14746729409.17"/>
    <n v="17.9496"/>
  </r>
  <r>
    <n v="4"/>
    <x v="3"/>
    <x v="4"/>
    <x v="6"/>
    <x v="6"/>
    <n v="1989552440.9000001"/>
    <n v="2909884940.3099999"/>
    <n v="46.258200000000002"/>
  </r>
  <r>
    <n v="4"/>
    <x v="3"/>
    <x v="5"/>
    <x v="6"/>
    <x v="6"/>
    <n v="2462880823.0900002"/>
    <n v="2313157205.3499999"/>
    <n v="-6.0792000000000002"/>
  </r>
  <r>
    <n v="4"/>
    <x v="3"/>
    <x v="6"/>
    <x v="6"/>
    <x v="6"/>
    <n v="2286211053.9699998"/>
    <n v="1996959919.9100001"/>
    <n v="-12.651899999999999"/>
  </r>
  <r>
    <n v="4"/>
    <x v="3"/>
    <x v="7"/>
    <x v="6"/>
    <x v="6"/>
    <n v="78988413508.580002"/>
    <n v="83673205722.779999"/>
    <n v="5.9309000000000003"/>
  </r>
  <r>
    <n v="4"/>
    <x v="3"/>
    <x v="8"/>
    <x v="6"/>
    <x v="6"/>
    <n v="347796493.31"/>
    <n v="266692040.59999999"/>
    <n v="-23.319500000000001"/>
  </r>
  <r>
    <n v="4"/>
    <x v="3"/>
    <x v="9"/>
    <x v="6"/>
    <x v="6"/>
    <n v="847233569.13"/>
    <n v="1270660728.5799999"/>
    <n v="49.977600000000002"/>
  </r>
  <r>
    <n v="4"/>
    <x v="3"/>
    <x v="10"/>
    <x v="6"/>
    <x v="6"/>
    <n v="129461776029.28"/>
    <n v="136998025393.61"/>
    <n v="5.8212000000000002"/>
  </r>
  <r>
    <n v="4"/>
    <x v="3"/>
    <x v="11"/>
    <x v="6"/>
    <x v="6"/>
    <n v="2408940332618.5898"/>
    <n v="2597616777802.5698"/>
    <n v="7.8323"/>
  </r>
  <r>
    <n v="4"/>
    <x v="3"/>
    <x v="12"/>
    <x v="6"/>
    <x v="6"/>
    <n v="1047810992.38"/>
    <n v="1000671756.47"/>
    <n v="-4.4988000000000001"/>
  </r>
  <r>
    <n v="4"/>
    <x v="3"/>
    <x v="13"/>
    <x v="6"/>
    <x v="6"/>
    <n v="812748201.12"/>
    <n v="890504453.80999994"/>
    <n v="9.5670000000000002"/>
  </r>
  <r>
    <n v="4"/>
    <x v="3"/>
    <x v="14"/>
    <x v="6"/>
    <x v="6"/>
    <n v="3905964130.79"/>
    <n v="14171643969.74"/>
    <n v="262.82060000000001"/>
  </r>
  <r>
    <n v="4"/>
    <x v="3"/>
    <x v="15"/>
    <x v="6"/>
    <x v="6"/>
    <n v="13333.34"/>
    <n v="13502908.460000001"/>
    <n v="101171.7628"/>
  </r>
  <r>
    <n v="4"/>
    <x v="3"/>
    <x v="16"/>
    <x v="6"/>
    <x v="6"/>
    <n v="1948465196.4400001"/>
    <n v="2042584232.4400001"/>
    <n v="4.8304"/>
  </r>
  <r>
    <n v="4"/>
    <x v="3"/>
    <x v="17"/>
    <x v="6"/>
    <x v="6"/>
    <n v="7833583.5"/>
    <n v="62982878.369999997"/>
    <n v="704.01099999999997"/>
  </r>
  <r>
    <n v="4"/>
    <x v="3"/>
    <x v="18"/>
    <x v="6"/>
    <x v="6"/>
    <n v="1801897.64"/>
    <n v="3460293.38"/>
    <n v="92.036000000000001"/>
  </r>
  <r>
    <n v="4"/>
    <x v="3"/>
    <x v="19"/>
    <x v="6"/>
    <x v="6"/>
    <n v="2599326453.73"/>
    <n v="2724886445.0100002"/>
    <n v="4.8304"/>
  </r>
  <r>
    <n v="4"/>
    <x v="3"/>
    <x v="20"/>
    <x v="6"/>
    <x v="6"/>
    <n v="896358399924.27002"/>
    <n v="965109140916.05005"/>
    <n v="7.67"/>
  </r>
  <r>
    <n v="4"/>
    <x v="3"/>
    <x v="21"/>
    <x v="6"/>
    <x v="6"/>
    <n v="3869972262.52"/>
    <n v="4751862772.3599997"/>
    <n v="22.788"/>
  </r>
  <r>
    <n v="4"/>
    <x v="3"/>
    <x v="22"/>
    <x v="6"/>
    <x v="6"/>
    <n v="149964399.97"/>
    <n v="241649960.88999999"/>
    <n v="61.138199999999998"/>
  </r>
  <r>
    <n v="4"/>
    <x v="3"/>
    <x v="23"/>
    <x v="6"/>
    <x v="6"/>
    <n v="161223980563.79001"/>
    <n v="193468711269.59"/>
    <n v="19.9999"/>
  </r>
  <r>
    <n v="4"/>
    <x v="3"/>
    <x v="24"/>
    <x v="6"/>
    <x v="6"/>
    <n v="13209417058.709999"/>
    <n v="16680308254.09"/>
    <n v="26.2758"/>
  </r>
  <r>
    <n v="4"/>
    <x v="3"/>
    <x v="25"/>
    <x v="6"/>
    <x v="6"/>
    <n v="95512121222.220001"/>
    <n v="108769186830.32001"/>
    <n v="13.879899999999999"/>
  </r>
  <r>
    <n v="4"/>
    <x v="3"/>
    <x v="26"/>
    <x v="6"/>
    <x v="6"/>
    <n v="12557725258.15"/>
    <n v="14262654170.34"/>
    <n v="13.576700000000001"/>
  </r>
  <r>
    <n v="4"/>
    <x v="3"/>
    <x v="27"/>
    <x v="6"/>
    <x v="6"/>
    <n v="1199041806.48"/>
    <n v="1630783211.05"/>
    <n v="36.00719999999999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n v="92845668722.410004"/>
    <n v="568538611951.85999"/>
    <n v="512.34799999999996"/>
  </r>
  <r>
    <x v="1"/>
    <n v="6368691.9100000001"/>
    <n v="33701411.479999997"/>
    <n v="429.17320000000001"/>
  </r>
  <r>
    <x v="2"/>
    <n v="1849307025.6500001"/>
    <n v="6731838698.8500004"/>
    <n v="264.01949999999999"/>
  </r>
  <r>
    <x v="3"/>
    <n v="1185519728.5599999"/>
    <n v="3735855767.0700002"/>
    <n v="215.12379999999999"/>
  </r>
  <r>
    <x v="4"/>
    <n v="1405077258983.3999"/>
    <n v="4198473374337.5"/>
    <n v="198.80719999999999"/>
  </r>
  <r>
    <x v="5"/>
    <n v="450742891.48000002"/>
    <n v="1234469875.23"/>
    <n v="173.87450000000001"/>
  </r>
  <r>
    <x v="6"/>
    <n v="114182117694.52"/>
    <n v="311899158815.91998"/>
    <n v="173.1593"/>
  </r>
  <r>
    <x v="7"/>
    <n v="3192615444.2800002"/>
    <n v="7612317073.2299995"/>
    <n v="138.43510000000001"/>
  </r>
  <r>
    <x v="8"/>
    <n v="9017613631.2700005"/>
    <n v="21158080523.669998"/>
    <n v="134.63050000000001"/>
  </r>
  <r>
    <x v="9"/>
    <n v="742284492.91999996"/>
    <n v="1630965315.79"/>
    <n v="119.72239999999999"/>
  </r>
  <r>
    <x v="10"/>
    <n v="668956309752.29004"/>
    <n v="1443342139229.5601"/>
    <n v="115.7602"/>
  </r>
  <r>
    <x v="11"/>
    <n v="14732583927.91"/>
    <n v="29723078840.029999"/>
    <n v="101.75060000000001"/>
  </r>
  <r>
    <x v="12"/>
    <n v="3264927487.7399998"/>
    <n v="6532427027.0299997"/>
    <n v="100.0787"/>
  </r>
  <r>
    <x v="13"/>
    <n v="25614927067.959999"/>
    <n v="50802367394.940002"/>
    <n v="98.331100000000006"/>
  </r>
  <r>
    <x v="14"/>
    <n v="75278095047.289993"/>
    <n v="147959852638.14001"/>
    <n v="96.551000000000002"/>
  </r>
  <r>
    <x v="15"/>
    <n v="72477067942.770004"/>
    <n v="141709516887.32001"/>
    <n v="95.523200000000003"/>
  </r>
  <r>
    <x v="16"/>
    <n v="94473991504.979996"/>
    <n v="184131394787.97"/>
    <n v="94.901600000000002"/>
  </r>
  <r>
    <x v="17"/>
    <n v="1703569178.6800001"/>
    <n v="3137165226.8099999"/>
    <n v="84.1524"/>
  </r>
  <r>
    <x v="18"/>
    <n v="891804303.82000005"/>
    <n v="1606907583.9000001"/>
    <n v="80.186099999999996"/>
  </r>
  <r>
    <x v="19"/>
    <n v="1352131178.7"/>
    <n v="2370941866.5999999"/>
    <n v="75.348500000000001"/>
  </r>
  <r>
    <x v="20"/>
    <n v="1374869273.3599999"/>
    <n v="2343720183.9200001"/>
    <n v="70.468500000000006"/>
  </r>
  <r>
    <x v="21"/>
    <n v="6370731244.8100004"/>
    <n v="10856196397.27"/>
    <n v="70.407300000000006"/>
  </r>
  <r>
    <x v="22"/>
    <n v="8670935342.8299999"/>
    <n v="14439785137.01"/>
    <n v="66.530799999999999"/>
  </r>
  <r>
    <x v="23"/>
    <n v="742439073.85000002"/>
    <n v="1228784456.49"/>
    <n v="65.506399999999999"/>
  </r>
  <r>
    <x v="24"/>
    <n v="232152337.50999999"/>
    <n v="312621429.12"/>
    <n v="34.662100000000002"/>
  </r>
  <r>
    <x v="25"/>
    <n v="2337912687.3699999"/>
    <n v="3022201132.0900002"/>
    <n v="29.269200000000001"/>
  </r>
  <r>
    <x v="26"/>
    <n v="2912869.88"/>
    <n v="2484655.9700000002"/>
    <n v="-14.700699999999999"/>
  </r>
  <r>
    <x v="27"/>
    <n v="4925414.1100000003"/>
    <n v="4078841.65"/>
    <n v="-17.18779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13E652-1C14-4E97-8F88-14124FC7E41C}" name="Tabela dinâmica17" cacheId="2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A13:E15" firstHeaderRow="1" firstDataRow="2" firstDataCol="1" rowPageCount="2" colPageCount="1"/>
  <pivotFields count="8">
    <pivotField showAll="0"/>
    <pivotField axis="axisPage" showAll="0">
      <items count="5">
        <item x="0"/>
        <item x="2"/>
        <item x="3"/>
        <item x="1"/>
        <item t="default"/>
      </items>
    </pivotField>
    <pivotField axis="axisPage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numFmtId="164" showAll="0"/>
    <pivotField dataField="1" numFmtId="164" showAll="0"/>
    <pivotField showAll="0"/>
  </pivotFields>
  <rowItems count="1">
    <i/>
  </rowItems>
  <colFields count="1">
    <field x="4"/>
  </colFields>
  <colItems count="4">
    <i>
      <x v="3"/>
    </i>
    <i>
      <x v="4"/>
    </i>
    <i>
      <x v="5"/>
    </i>
    <i t="grand">
      <x/>
    </i>
  </colItems>
  <pageFields count="2">
    <pageField fld="1" item="1" hier="-1"/>
    <pageField fld="2" item="2" hier="-1"/>
  </pageFields>
  <dataFields count="1">
    <dataField name="Soma de TotalAnoComparado" fld="6" baseField="0" baseItem="0" numFmtId="164"/>
  </dataFields>
  <chartFormats count="3"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94AD71-6803-4683-8AD6-7ED9F759ED65}" name="Tabela dinâmica16" cacheId="2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4:E6" firstHeaderRow="1" firstDataRow="2" firstDataCol="1" rowPageCount="2" colPageCount="1"/>
  <pivotFields count="8">
    <pivotField showAll="0"/>
    <pivotField axis="axisPage" showAll="0">
      <items count="5">
        <item x="0"/>
        <item x="2"/>
        <item x="3"/>
        <item x="1"/>
        <item t="default"/>
      </items>
    </pivotField>
    <pivotField axis="axisPage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dataField="1" numFmtId="164" showAll="0"/>
    <pivotField numFmtId="164" showAll="0"/>
    <pivotField showAll="0"/>
  </pivotFields>
  <rowItems count="1">
    <i/>
  </rowItems>
  <colFields count="1">
    <field x="3"/>
  </colFields>
  <colItems count="4">
    <i>
      <x v="3"/>
    </i>
    <i>
      <x v="4"/>
    </i>
    <i>
      <x v="5"/>
    </i>
    <i t="grand">
      <x/>
    </i>
  </colItems>
  <pageFields count="2">
    <pageField fld="1" item="1" hier="-1"/>
    <pageField fld="2" item="2" hier="-1"/>
  </pageFields>
  <dataFields count="1">
    <dataField name="Soma de TotalAnoBase" fld="5" baseField="0" baseItem="0" numFmtId="164"/>
  </dataFields>
  <chartFormats count="4"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6FE95D-ED7C-45AE-BD9C-8A3819DED0F7}" name="Tabela dinâmica20" cacheId="3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3:B4" firstHeaderRow="0" firstDataRow="1" firstDataCol="0" rowPageCount="1" colPageCount="1"/>
  <pivotFields count="4">
    <pivotField axis="axisPage" showAll="0">
      <items count="29">
        <item x="13"/>
        <item x="11"/>
        <item x="0"/>
        <item x="21"/>
        <item x="2"/>
        <item x="3"/>
        <item x="23"/>
        <item x="14"/>
        <item x="24"/>
        <item x="18"/>
        <item x="16"/>
        <item x="4"/>
        <item x="25"/>
        <item x="9"/>
        <item x="12"/>
        <item x="27"/>
        <item x="17"/>
        <item x="1"/>
        <item x="26"/>
        <item x="20"/>
        <item x="10"/>
        <item x="7"/>
        <item x="5"/>
        <item x="6"/>
        <item x="8"/>
        <item x="15"/>
        <item x="22"/>
        <item x="19"/>
        <item t="default"/>
      </items>
    </pivotField>
    <pivotField dataField="1" numFmtId="44" showAll="0"/>
    <pivotField dataField="1" numFmtId="44" showAll="0"/>
    <pivotField showAll="0"/>
  </pivotFields>
  <rowItems count="1">
    <i/>
  </rowItems>
  <colFields count="1">
    <field x="-2"/>
  </colFields>
  <colItems count="2">
    <i>
      <x/>
    </i>
    <i i="1">
      <x v="1"/>
    </i>
  </colItems>
  <pageFields count="1">
    <pageField fld="0" item="1" hier="-1"/>
  </pageFields>
  <dataFields count="2">
    <dataField name="Soma de TotalPrePandemia" fld="1" baseField="0" baseItem="0" numFmtId="44"/>
    <dataField name="Soma de TotalDurantePandemia" fld="2" baseField="0" baseItem="0" numFmtId="44"/>
  </dataFields>
  <chartFormats count="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F808D12F-1444-452C-B66C-43A67409AB42}" autoFormatId="16" applyNumberFormats="0" applyBorderFormats="0" applyFontFormats="0" applyPatternFormats="0" applyAlignmentFormats="0" applyWidthHeightFormats="0">
  <queryTableRefresh nextId="4">
    <queryTableFields count="3">
      <queryTableField id="1" name="NomePresidente" tableColumnId="1"/>
      <queryTableField id="2" name="NomeFuncao" tableColumnId="2"/>
      <queryTableField id="3" name="TotalInvestido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EFAAA084-F3EE-4171-8BDB-92009839A66F}" autoFormatId="16" applyNumberFormats="0" applyBorderFormats="0" applyFontFormats="0" applyPatternFormats="0" applyAlignmentFormats="0" applyWidthHeightFormats="0">
  <queryTableRefresh nextId="7">
    <queryTableFields count="6">
      <queryTableField id="1" name="IdMandato" tableColumnId="1"/>
      <queryTableField id="2" name="NomePresidente" tableColumnId="2"/>
      <queryTableField id="3" name="AnoEleitoral" tableColumnId="3"/>
      <queryTableField id="4" name="TotalAnoEleitoral" tableColumnId="4"/>
      <queryTableField id="5" name="TotalAnoAnterior" tableColumnId="5"/>
      <queryTableField id="6" name="PercentualAumento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4A0D8F45-5F59-41A0-97BD-857A0B388F96}" autoFormatId="16" applyNumberFormats="0" applyBorderFormats="0" applyFontFormats="0" applyPatternFormats="0" applyAlignmentFormats="0" applyWidthHeightFormats="0">
  <queryTableRefresh nextId="4">
    <queryTableFields count="3">
      <queryTableField id="1" name="IdMandato" tableColumnId="1"/>
      <queryTableField id="2" name="NomePresidente" tableColumnId="2"/>
      <queryTableField id="3" name="Column1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FBFC8B85-DAF5-41DD-8573-8159BDCC15F0}" autoFormatId="16" applyNumberFormats="0" applyBorderFormats="0" applyFontFormats="0" applyPatternFormats="0" applyAlignmentFormats="0" applyWidthHeightFormats="0">
  <queryTableRefresh nextId="4">
    <queryTableFields count="3">
      <queryTableField id="1" name="NomePresidente" tableColumnId="1"/>
      <queryTableField id="2" name="TotalGastoViagens" tableColumnId="2"/>
      <queryTableField id="3" name="QuantidadeViagens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5" xr16:uid="{C9FE01A8-85D6-4277-AEF8-E11CE2EE2A95}" autoFormatId="16" applyNumberFormats="0" applyBorderFormats="0" applyFontFormats="0" applyPatternFormats="0" applyAlignmentFormats="0" applyWidthHeightFormats="0">
  <queryTableRefresh nextId="9">
    <queryTableFields count="8">
      <queryTableField id="1" name="IdMandato" tableColumnId="1"/>
      <queryTableField id="2" name="NomePresidente" tableColumnId="2"/>
      <queryTableField id="3" name="NomeFuncao" tableColumnId="3"/>
      <queryTableField id="4" name="AnoBase" tableColumnId="4"/>
      <queryTableField id="5" name="AnoComparado" tableColumnId="5"/>
      <queryTableField id="6" name="TotalAnoBase" tableColumnId="6"/>
      <queryTableField id="7" name="TotalAnoComparado" tableColumnId="7"/>
      <queryTableField id="8" name="PercentualVariacao" tableColumnId="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6" xr16:uid="{2C6E4D03-28B2-4E59-931F-B1CF18F6800B}" autoFormatId="16" applyNumberFormats="0" applyBorderFormats="0" applyFontFormats="0" applyPatternFormats="0" applyAlignmentFormats="0" applyWidthHeightFormats="0">
  <queryTableRefresh nextId="5">
    <queryTableFields count="4">
      <queryTableField id="1" name="NomeFuncao" tableColumnId="1"/>
      <queryTableField id="2" name="TotalPrePandemia" tableColumnId="2"/>
      <queryTableField id="3" name="TotalDurantePandemia" tableColumnId="3"/>
      <queryTableField id="4" name="PercentualVariacao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08DF13-49D9-4CD2-9C88-7B3C6C587706}" name="Consulta1" displayName="Consulta1" ref="A1:C17" tableType="queryTable" totalsRowShown="0">
  <autoFilter ref="A1:C17" xr:uid="{8A08DF13-49D9-4CD2-9C88-7B3C6C587706}"/>
  <tableColumns count="3">
    <tableColumn id="1" xr3:uid="{D9D38913-337A-425F-B624-1D411C40CF5E}" uniqueName="1" name="NomePresidente" queryTableFieldId="1" dataDxfId="15"/>
    <tableColumn id="2" xr3:uid="{ED267A43-2BDC-496A-A0B2-DFCB48565D63}" uniqueName="2" name="NomeFuncao" queryTableFieldId="2" dataDxfId="14"/>
    <tableColumn id="3" xr3:uid="{28F85D8A-628B-4D34-8809-F7BE18624A51}" uniqueName="3" name="TotalInvestido" queryTableFieldId="3" dataDxf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C46151-2336-4314-93D6-8C43E91DCB09}" name="Consulta2" displayName="Consulta2" ref="A1:F3" tableType="queryTable" totalsRowShown="0">
  <autoFilter ref="A1:F3" xr:uid="{32C46151-2336-4314-93D6-8C43E91DCB09}"/>
  <tableColumns count="6">
    <tableColumn id="1" xr3:uid="{79128DF2-A0D7-47FA-A80C-7C2F419891EF}" uniqueName="1" name="IdMandato" queryTableFieldId="1"/>
    <tableColumn id="2" xr3:uid="{13395D02-1C40-43CF-B712-CF56F12AED07}" uniqueName="2" name="NomePresidente" queryTableFieldId="2" dataDxfId="12"/>
    <tableColumn id="3" xr3:uid="{DF8075B8-0E85-4146-BC8C-96153DCA89AC}" uniqueName="3" name="AnoEleitoral" queryTableFieldId="3"/>
    <tableColumn id="4" xr3:uid="{BE6E8915-A985-4F79-BBDD-F44E1AEAB28A}" uniqueName="4" name="TotalAnoEleitoral" queryTableFieldId="4" dataDxfId="11"/>
    <tableColumn id="5" xr3:uid="{9189ED36-99D0-4706-9843-5C3AB1BE9B61}" uniqueName="5" name="TotalAnoAnterior" queryTableFieldId="5" dataDxfId="10"/>
    <tableColumn id="6" xr3:uid="{8DCEF168-F17B-43BD-8154-3A9957A570EF}" uniqueName="6" name="PercentualAumento" queryTableFieldId="6" dataDxf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12BB8D2-25FC-4617-A168-707227AB9A45}" name="Consulta3" displayName="Consulta3" ref="A1:C5" tableType="queryTable" totalsRowShown="0">
  <autoFilter ref="A1:C5" xr:uid="{012BB8D2-25FC-4617-A168-707227AB9A45}"/>
  <tableColumns count="3">
    <tableColumn id="1" xr3:uid="{745144E0-A7BC-4E86-B443-2C9DA6B72753}" uniqueName="1" name="IdMandato" queryTableFieldId="1"/>
    <tableColumn id="2" xr3:uid="{B9164BCB-EF8E-4146-882E-E82136E89589}" uniqueName="2" name="NomePresidente" queryTableFieldId="2" dataDxfId="8"/>
    <tableColumn id="3" xr3:uid="{2FA28D59-1404-40E0-8269-B26152E23CBF}" uniqueName="3" name="Column1" queryTableFieldId="3" dataDxf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15059A8-DD9B-4520-9478-DECFE9D58620}" name="Consulta4" displayName="Consulta4" ref="A1:C5" tableType="queryTable" totalsRowShown="0">
  <autoFilter ref="A1:C5" xr:uid="{A15059A8-DD9B-4520-9478-DECFE9D58620}"/>
  <tableColumns count="3">
    <tableColumn id="1" xr3:uid="{9BAEFE2A-5A90-45EE-A38E-B7814C3091E4}" uniqueName="1" name="NomePresidente" queryTableFieldId="1" dataDxfId="6"/>
    <tableColumn id="2" xr3:uid="{745EFE03-CB64-4E7F-BE2F-0F3D70396DD2}" uniqueName="2" name="TotalGastoViagens" queryTableFieldId="2" dataDxfId="5"/>
    <tableColumn id="3" xr3:uid="{252248BB-B593-4E8D-90C2-52C26BDF0634}" uniqueName="3" name="QuantidadeViagens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1251503-2A9B-4F52-9A9B-A7D20009E5AA}" name="Consulta5" displayName="Consulta5" ref="A1:H197" tableType="queryTable" totalsRowShown="0">
  <autoFilter ref="A1:H197" xr:uid="{C1251503-2A9B-4F52-9A9B-A7D20009E5AA}"/>
  <tableColumns count="8">
    <tableColumn id="1" xr3:uid="{3D37B532-0312-4707-9A3F-82D012F19535}" uniqueName="1" name="IdMandato" queryTableFieldId="1"/>
    <tableColumn id="2" xr3:uid="{24E12A51-F0A7-4F0F-AE00-CBE4957DA5BB}" uniqueName="2" name="NomePresidente" queryTableFieldId="2" dataDxfId="4"/>
    <tableColumn id="3" xr3:uid="{96250805-0D86-4739-9F54-EFA99FB64509}" uniqueName="3" name="NomeFuncao" queryTableFieldId="3" dataDxfId="3"/>
    <tableColumn id="4" xr3:uid="{455A5FD8-DB91-4351-A467-DB0FCA5EDC2A}" uniqueName="4" name="AnoBase" queryTableFieldId="4"/>
    <tableColumn id="5" xr3:uid="{D0DB1E5C-F36F-4F64-A90F-A9B1F2D313E6}" uniqueName="5" name="AnoComparado" queryTableFieldId="5"/>
    <tableColumn id="6" xr3:uid="{16EE6808-DF55-4B9C-ADF1-864E089B77FF}" uniqueName="6" name="TotalAnoBase" queryTableFieldId="6" dataDxfId="2"/>
    <tableColumn id="7" xr3:uid="{75238CBC-B166-449D-AA8E-D74DA9EC8979}" uniqueName="7" name="TotalAnoComparado" queryTableFieldId="7" dataDxfId="1"/>
    <tableColumn id="8" xr3:uid="{DDF22379-73F5-4F90-A94C-0C81C9406971}" uniqueName="8" name="PercentualVariacao" queryTableFieldId="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F0920FD-229F-4A0D-A005-BF8B8FB2F796}" name="Consulta6" displayName="Consulta6" ref="A1:D29" tableType="queryTable" totalsRowShown="0">
  <autoFilter ref="A1:D29" xr:uid="{8F0920FD-229F-4A0D-A005-BF8B8FB2F796}"/>
  <tableColumns count="4">
    <tableColumn id="1" xr3:uid="{A2DC4A9F-4C55-4477-BB61-7A578E9EF4A9}" uniqueName="1" name="NomeFuncao" queryTableFieldId="1" dataDxfId="0"/>
    <tableColumn id="2" xr3:uid="{E20203F2-BFD0-4380-A9BC-873CF50AB000}" uniqueName="2" name="TotalPrePandemia" queryTableFieldId="2" dataCellStyle="Moeda"/>
    <tableColumn id="3" xr3:uid="{C12C915A-304A-4CF8-B1A7-0398EB00EE8B}" uniqueName="3" name="TotalDurantePandemia" queryTableFieldId="3" dataCellStyle="Moeda"/>
    <tableColumn id="4" xr3:uid="{EBA820E9-91FE-42E4-86C0-CAA43D528755}" uniqueName="4" name="PercentualVariacao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3A5B5-C5A4-41C7-95CC-38CDBC4366FE}">
  <dimension ref="A1:I17"/>
  <sheetViews>
    <sheetView topLeftCell="D7" zoomScale="70" zoomScaleNormal="70" workbookViewId="0">
      <selection activeCell="U20" sqref="U20"/>
    </sheetView>
  </sheetViews>
  <sheetFormatPr defaultRowHeight="15" x14ac:dyDescent="0.25"/>
  <cols>
    <col min="1" max="1" width="18.7109375" hidden="1" customWidth="1"/>
    <col min="2" max="2" width="19.42578125" hidden="1" customWidth="1"/>
    <col min="3" max="3" width="22.85546875" hidden="1" customWidth="1"/>
    <col min="4" max="4" width="22.85546875" customWidth="1"/>
    <col min="5" max="5" width="19.42578125" bestFit="1" customWidth="1"/>
    <col min="6" max="9" width="20.140625" bestFit="1" customWidth="1"/>
  </cols>
  <sheetData>
    <row r="1" spans="1:9" x14ac:dyDescent="0.25">
      <c r="A1" t="s">
        <v>0</v>
      </c>
      <c r="B1" t="s">
        <v>1</v>
      </c>
      <c r="C1" t="s">
        <v>2</v>
      </c>
      <c r="E1" s="1" t="s">
        <v>1</v>
      </c>
      <c r="F1" s="5" t="s">
        <v>3</v>
      </c>
      <c r="G1" s="6" t="s">
        <v>5</v>
      </c>
      <c r="H1" s="5" t="s">
        <v>6</v>
      </c>
      <c r="I1" s="6" t="s">
        <v>7</v>
      </c>
    </row>
    <row r="2" spans="1:9" x14ac:dyDescent="0.25">
      <c r="A2" t="s">
        <v>3</v>
      </c>
      <c r="B2" t="s">
        <v>4</v>
      </c>
      <c r="C2" s="2">
        <v>27249297281.580002</v>
      </c>
      <c r="E2" s="3" t="s">
        <v>4</v>
      </c>
      <c r="F2" s="7">
        <v>27249297281.580002</v>
      </c>
      <c r="G2" s="8">
        <v>25478397014.279999</v>
      </c>
      <c r="H2" s="7">
        <v>15778559171.110001</v>
      </c>
      <c r="I2" s="8">
        <v>9304975509.8799992</v>
      </c>
    </row>
    <row r="3" spans="1:9" x14ac:dyDescent="0.25">
      <c r="A3" t="s">
        <v>5</v>
      </c>
      <c r="B3" t="s">
        <v>4</v>
      </c>
      <c r="C3" s="2">
        <v>25478397014.279999</v>
      </c>
      <c r="E3" s="4" t="s">
        <v>8</v>
      </c>
      <c r="F3" s="8">
        <v>266459801422.89001</v>
      </c>
      <c r="G3" s="7">
        <v>388383140064.67999</v>
      </c>
      <c r="H3" s="7">
        <v>236278593417.51001</v>
      </c>
      <c r="I3" s="8">
        <v>144912683191.88</v>
      </c>
    </row>
    <row r="4" spans="1:9" x14ac:dyDescent="0.25">
      <c r="A4" t="s">
        <v>6</v>
      </c>
      <c r="B4" t="s">
        <v>4</v>
      </c>
      <c r="C4" s="2">
        <v>15778559171.110001</v>
      </c>
      <c r="E4" s="3" t="s">
        <v>9</v>
      </c>
      <c r="F4" s="8">
        <v>354692691833.38</v>
      </c>
      <c r="G4" s="7">
        <v>562930891250.51001</v>
      </c>
      <c r="H4" s="7">
        <v>249346809562.82999</v>
      </c>
      <c r="I4" s="8">
        <v>155601703520.75</v>
      </c>
    </row>
    <row r="5" spans="1:9" x14ac:dyDescent="0.25">
      <c r="A5" t="s">
        <v>7</v>
      </c>
      <c r="B5" t="s">
        <v>4</v>
      </c>
      <c r="C5" s="2">
        <v>9304975509.8799992</v>
      </c>
      <c r="E5" s="4" t="s">
        <v>10</v>
      </c>
      <c r="F5" s="8">
        <v>29889725312.799999</v>
      </c>
      <c r="G5" s="7">
        <v>41904308323.419998</v>
      </c>
      <c r="H5" s="7">
        <v>21335017279.330002</v>
      </c>
      <c r="I5" s="8">
        <v>12795072468.32</v>
      </c>
    </row>
    <row r="6" spans="1:9" x14ac:dyDescent="0.25">
      <c r="A6" t="s">
        <v>5</v>
      </c>
      <c r="B6" t="s">
        <v>8</v>
      </c>
      <c r="C6" s="2">
        <v>388383140064.67999</v>
      </c>
    </row>
    <row r="7" spans="1:9" x14ac:dyDescent="0.25">
      <c r="A7" t="s">
        <v>3</v>
      </c>
      <c r="B7" t="s">
        <v>8</v>
      </c>
      <c r="C7" s="2">
        <v>266459801422.89001</v>
      </c>
    </row>
    <row r="8" spans="1:9" x14ac:dyDescent="0.25">
      <c r="A8" t="s">
        <v>6</v>
      </c>
      <c r="B8" t="s">
        <v>8</v>
      </c>
      <c r="C8" s="2">
        <v>236278593417.51001</v>
      </c>
    </row>
    <row r="9" spans="1:9" x14ac:dyDescent="0.25">
      <c r="A9" t="s">
        <v>7</v>
      </c>
      <c r="B9" t="s">
        <v>8</v>
      </c>
      <c r="C9" s="2">
        <v>144912683191.88</v>
      </c>
    </row>
    <row r="10" spans="1:9" x14ac:dyDescent="0.25">
      <c r="A10" t="s">
        <v>5</v>
      </c>
      <c r="B10" t="s">
        <v>9</v>
      </c>
      <c r="C10" s="2">
        <v>562930891250.51001</v>
      </c>
    </row>
    <row r="11" spans="1:9" x14ac:dyDescent="0.25">
      <c r="A11" t="s">
        <v>3</v>
      </c>
      <c r="B11" t="s">
        <v>9</v>
      </c>
      <c r="C11" s="2">
        <v>354692691833.38</v>
      </c>
    </row>
    <row r="12" spans="1:9" x14ac:dyDescent="0.25">
      <c r="A12" t="s">
        <v>6</v>
      </c>
      <c r="B12" t="s">
        <v>9</v>
      </c>
      <c r="C12" s="2">
        <v>249346809562.82999</v>
      </c>
    </row>
    <row r="13" spans="1:9" x14ac:dyDescent="0.25">
      <c r="A13" t="s">
        <v>7</v>
      </c>
      <c r="B13" t="s">
        <v>9</v>
      </c>
      <c r="C13" s="2">
        <v>155601703520.75</v>
      </c>
    </row>
    <row r="14" spans="1:9" x14ac:dyDescent="0.25">
      <c r="A14" t="s">
        <v>5</v>
      </c>
      <c r="B14" t="s">
        <v>10</v>
      </c>
      <c r="C14" s="2">
        <v>41904308323.419998</v>
      </c>
    </row>
    <row r="15" spans="1:9" x14ac:dyDescent="0.25">
      <c r="A15" t="s">
        <v>3</v>
      </c>
      <c r="B15" t="s">
        <v>10</v>
      </c>
      <c r="C15" s="2">
        <v>29889725312.799999</v>
      </c>
    </row>
    <row r="16" spans="1:9" x14ac:dyDescent="0.25">
      <c r="A16" t="s">
        <v>6</v>
      </c>
      <c r="B16" t="s">
        <v>10</v>
      </c>
      <c r="C16" s="2">
        <v>21335017279.330002</v>
      </c>
    </row>
    <row r="17" spans="1:3" x14ac:dyDescent="0.25">
      <c r="A17" t="s">
        <v>7</v>
      </c>
      <c r="B17" t="s">
        <v>10</v>
      </c>
      <c r="C17" s="2">
        <v>12795072468.32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DF54E-19A2-4833-B1C0-DF7FDBBE1AFD}">
  <dimension ref="A1:F3"/>
  <sheetViews>
    <sheetView topLeftCell="A4" workbookViewId="0">
      <selection activeCell="I8" sqref="I8"/>
    </sheetView>
  </sheetViews>
  <sheetFormatPr defaultRowHeight="15" x14ac:dyDescent="0.25"/>
  <cols>
    <col min="1" max="1" width="12.7109375" bestFit="1" customWidth="1"/>
    <col min="2" max="2" width="18.7109375" bestFit="1" customWidth="1"/>
    <col min="3" max="3" width="14.28515625" bestFit="1" customWidth="1"/>
    <col min="4" max="5" width="21.85546875" bestFit="1" customWidth="1"/>
    <col min="6" max="6" width="21.42578125" bestFit="1" customWidth="1"/>
  </cols>
  <sheetData>
    <row r="1" spans="1:6" x14ac:dyDescent="0.25">
      <c r="A1" t="s">
        <v>11</v>
      </c>
      <c r="B1" t="s">
        <v>0</v>
      </c>
      <c r="C1" t="s">
        <v>12</v>
      </c>
      <c r="D1" t="s">
        <v>13</v>
      </c>
      <c r="E1" t="s">
        <v>14</v>
      </c>
      <c r="F1" t="s">
        <v>15</v>
      </c>
    </row>
    <row r="2" spans="1:6" x14ac:dyDescent="0.25">
      <c r="A2">
        <v>2</v>
      </c>
      <c r="B2" t="s">
        <v>6</v>
      </c>
      <c r="C2">
        <v>2018</v>
      </c>
      <c r="D2" s="2">
        <v>2522845254532.8101</v>
      </c>
      <c r="E2" s="2">
        <v>2394600442427.8301</v>
      </c>
      <c r="F2" s="9">
        <v>5.3555000000000001</v>
      </c>
    </row>
    <row r="3" spans="1:6" x14ac:dyDescent="0.25">
      <c r="A3">
        <v>3</v>
      </c>
      <c r="B3" t="s">
        <v>5</v>
      </c>
      <c r="C3">
        <v>2022</v>
      </c>
      <c r="D3" s="2">
        <v>3927375392104.1802</v>
      </c>
      <c r="E3" s="2">
        <v>3743788587265.5098</v>
      </c>
      <c r="F3" s="9">
        <v>4.9036999999999997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93288-81AE-4B67-93AD-715456D957ED}">
  <dimension ref="A1:C5"/>
  <sheetViews>
    <sheetView zoomScale="85" zoomScaleNormal="85" workbookViewId="0">
      <selection activeCell="S4" sqref="S4"/>
    </sheetView>
  </sheetViews>
  <sheetFormatPr defaultRowHeight="15" x14ac:dyDescent="0.25"/>
  <cols>
    <col min="1" max="1" width="12.7109375" bestFit="1" customWidth="1"/>
    <col min="2" max="2" width="18.7109375" bestFit="1" customWidth="1"/>
    <col min="3" max="3" width="16.42578125" bestFit="1" customWidth="1"/>
  </cols>
  <sheetData>
    <row r="1" spans="1:3" x14ac:dyDescent="0.25">
      <c r="A1" t="s">
        <v>11</v>
      </c>
      <c r="B1" t="s">
        <v>0</v>
      </c>
      <c r="C1" t="s">
        <v>16</v>
      </c>
    </row>
    <row r="2" spans="1:3" x14ac:dyDescent="0.25">
      <c r="A2">
        <v>3</v>
      </c>
      <c r="B2" t="s">
        <v>5</v>
      </c>
      <c r="C2" s="2">
        <v>254481420.25999999</v>
      </c>
    </row>
    <row r="3" spans="1:3" x14ac:dyDescent="0.25">
      <c r="A3">
        <v>4</v>
      </c>
      <c r="B3" t="s">
        <v>3</v>
      </c>
      <c r="C3" s="2">
        <v>191131678.16999999</v>
      </c>
    </row>
    <row r="4" spans="1:3" x14ac:dyDescent="0.25">
      <c r="A4">
        <v>2</v>
      </c>
      <c r="B4" t="s">
        <v>6</v>
      </c>
      <c r="C4" s="2">
        <v>120553066.3</v>
      </c>
    </row>
    <row r="5" spans="1:3" x14ac:dyDescent="0.25">
      <c r="A5">
        <v>1</v>
      </c>
      <c r="B5" t="s">
        <v>7</v>
      </c>
      <c r="C5" s="2">
        <v>89821558.650000006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CDB3A-D848-4C4C-BAB8-85CCAD401EC7}">
  <dimension ref="A1:C5"/>
  <sheetViews>
    <sheetView workbookViewId="0">
      <selection activeCell="C14" sqref="C14"/>
    </sheetView>
  </sheetViews>
  <sheetFormatPr defaultRowHeight="15" x14ac:dyDescent="0.25"/>
  <cols>
    <col min="1" max="1" width="18.7109375" bestFit="1" customWidth="1"/>
    <col min="2" max="2" width="20.28515625" bestFit="1" customWidth="1"/>
    <col min="3" max="3" width="21" bestFit="1" customWidth="1"/>
  </cols>
  <sheetData>
    <row r="1" spans="1:3" x14ac:dyDescent="0.25">
      <c r="A1" t="s">
        <v>0</v>
      </c>
      <c r="B1" t="s">
        <v>17</v>
      </c>
      <c r="C1" t="s">
        <v>18</v>
      </c>
    </row>
    <row r="2" spans="1:3" x14ac:dyDescent="0.25">
      <c r="A2" t="s">
        <v>3</v>
      </c>
      <c r="B2" s="2">
        <v>4590836935.9899998</v>
      </c>
      <c r="C2">
        <v>1579769</v>
      </c>
    </row>
    <row r="3" spans="1:3" x14ac:dyDescent="0.25">
      <c r="A3" t="s">
        <v>5</v>
      </c>
      <c r="B3" s="2">
        <v>4271197490.4899998</v>
      </c>
      <c r="C3">
        <v>2219471</v>
      </c>
    </row>
    <row r="4" spans="1:3" x14ac:dyDescent="0.25">
      <c r="A4" t="s">
        <v>6</v>
      </c>
      <c r="B4" s="2">
        <v>3361625554.5500002</v>
      </c>
      <c r="C4">
        <v>2213623</v>
      </c>
    </row>
    <row r="5" spans="1:3" x14ac:dyDescent="0.25">
      <c r="A5" t="s">
        <v>7</v>
      </c>
      <c r="B5" s="2">
        <v>2025466849.8699999</v>
      </c>
      <c r="C5">
        <v>1363582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64F93-D52C-4867-85F8-845FD6EDFC38}">
  <dimension ref="A1:E15"/>
  <sheetViews>
    <sheetView workbookViewId="0">
      <selection activeCell="B22" sqref="B22"/>
    </sheetView>
  </sheetViews>
  <sheetFormatPr defaultRowHeight="15" x14ac:dyDescent="0.25"/>
  <cols>
    <col min="1" max="1" width="28" bestFit="1" customWidth="1"/>
    <col min="2" max="5" width="20.28515625" bestFit="1" customWidth="1"/>
    <col min="6" max="8" width="22" bestFit="1" customWidth="1"/>
    <col min="9" max="9" width="23" bestFit="1" customWidth="1"/>
    <col min="10" max="10" width="22" bestFit="1" customWidth="1"/>
    <col min="11" max="11" width="28" bestFit="1" customWidth="1"/>
    <col min="12" max="12" width="22" bestFit="1" customWidth="1"/>
    <col min="13" max="13" width="28" bestFit="1" customWidth="1"/>
    <col min="14" max="14" width="22" bestFit="1" customWidth="1"/>
    <col min="15" max="15" width="28" bestFit="1" customWidth="1"/>
    <col min="16" max="16" width="26.7109375" bestFit="1" customWidth="1"/>
    <col min="17" max="17" width="33" bestFit="1" customWidth="1"/>
  </cols>
  <sheetData>
    <row r="1" spans="1:5" x14ac:dyDescent="0.25">
      <c r="A1" s="10" t="s">
        <v>0</v>
      </c>
      <c r="B1" t="s">
        <v>5</v>
      </c>
    </row>
    <row r="2" spans="1:5" x14ac:dyDescent="0.25">
      <c r="A2" s="10" t="s">
        <v>1</v>
      </c>
      <c r="B2" t="s">
        <v>26</v>
      </c>
    </row>
    <row r="4" spans="1:5" x14ac:dyDescent="0.25">
      <c r="B4" s="10" t="s">
        <v>50</v>
      </c>
    </row>
    <row r="5" spans="1:5" x14ac:dyDescent="0.25">
      <c r="B5">
        <v>2019</v>
      </c>
      <c r="C5">
        <v>2020</v>
      </c>
      <c r="D5">
        <v>2021</v>
      </c>
      <c r="E5" t="s">
        <v>49</v>
      </c>
    </row>
    <row r="6" spans="1:5" x14ac:dyDescent="0.25">
      <c r="A6" t="s">
        <v>48</v>
      </c>
      <c r="B6" s="2">
        <v>92845668722.410004</v>
      </c>
      <c r="C6" s="2">
        <v>409936624446.09003</v>
      </c>
      <c r="D6" s="2">
        <v>158601987505.76999</v>
      </c>
      <c r="E6" s="2">
        <v>661384280674.27002</v>
      </c>
    </row>
    <row r="10" spans="1:5" x14ac:dyDescent="0.25">
      <c r="A10" s="10" t="s">
        <v>0</v>
      </c>
      <c r="B10" t="s">
        <v>5</v>
      </c>
    </row>
    <row r="11" spans="1:5" x14ac:dyDescent="0.25">
      <c r="A11" s="10" t="s">
        <v>1</v>
      </c>
      <c r="B11" t="s">
        <v>26</v>
      </c>
    </row>
    <row r="13" spans="1:5" x14ac:dyDescent="0.25">
      <c r="B13" s="10" t="s">
        <v>50</v>
      </c>
    </row>
    <row r="14" spans="1:5" x14ac:dyDescent="0.25">
      <c r="B14">
        <v>2020</v>
      </c>
      <c r="C14">
        <v>2021</v>
      </c>
      <c r="D14">
        <v>2022</v>
      </c>
      <c r="E14" t="s">
        <v>49</v>
      </c>
    </row>
    <row r="15" spans="1:5" x14ac:dyDescent="0.25">
      <c r="A15" t="s">
        <v>51</v>
      </c>
      <c r="B15" s="2">
        <v>409936624446.09003</v>
      </c>
      <c r="C15" s="2">
        <v>158601987505.76999</v>
      </c>
      <c r="D15" s="2">
        <v>193498113454.72</v>
      </c>
      <c r="E15" s="2">
        <v>762036725406.57996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75A7C-C7E6-4014-A192-67CDA3DE25A0}">
  <dimension ref="A1:H197"/>
  <sheetViews>
    <sheetView topLeftCell="J1" zoomScale="70" zoomScaleNormal="70" workbookViewId="0">
      <selection activeCell="V12" sqref="V12"/>
    </sheetView>
  </sheetViews>
  <sheetFormatPr defaultRowHeight="15" x14ac:dyDescent="0.25"/>
  <cols>
    <col min="1" max="1" width="12.7109375" hidden="1" customWidth="1"/>
    <col min="2" max="2" width="18.7109375" hidden="1" customWidth="1"/>
    <col min="3" max="3" width="20.28515625" hidden="1" customWidth="1"/>
    <col min="4" max="4" width="11" hidden="1" customWidth="1"/>
    <col min="5" max="5" width="17.28515625" hidden="1" customWidth="1"/>
    <col min="6" max="6" width="21.85546875" style="2" hidden="1" customWidth="1"/>
    <col min="7" max="7" width="22" style="2" hidden="1" customWidth="1"/>
    <col min="8" max="8" width="20.85546875" hidden="1" customWidth="1"/>
    <col min="9" max="9" width="0" hidden="1" customWidth="1"/>
  </cols>
  <sheetData>
    <row r="1" spans="1:8" x14ac:dyDescent="0.25">
      <c r="A1" t="s">
        <v>11</v>
      </c>
      <c r="B1" t="s">
        <v>0</v>
      </c>
      <c r="C1" t="s">
        <v>1</v>
      </c>
      <c r="D1" t="s">
        <v>19</v>
      </c>
      <c r="E1" t="s">
        <v>20</v>
      </c>
      <c r="F1" s="2" t="s">
        <v>21</v>
      </c>
      <c r="G1" s="2" t="s">
        <v>22</v>
      </c>
      <c r="H1" t="s">
        <v>23</v>
      </c>
    </row>
    <row r="2" spans="1:8" x14ac:dyDescent="0.25">
      <c r="A2">
        <v>1</v>
      </c>
      <c r="B2" t="s">
        <v>7</v>
      </c>
      <c r="C2" t="s">
        <v>24</v>
      </c>
      <c r="D2">
        <v>2015</v>
      </c>
      <c r="E2">
        <v>2016</v>
      </c>
      <c r="F2" s="2">
        <v>21013803467.91</v>
      </c>
      <c r="G2" s="2">
        <v>14248415879.200001</v>
      </c>
      <c r="H2">
        <v>-32.194899999999997</v>
      </c>
    </row>
    <row r="3" spans="1:8" x14ac:dyDescent="0.25">
      <c r="A3">
        <v>1</v>
      </c>
      <c r="B3" t="s">
        <v>7</v>
      </c>
      <c r="C3" t="s">
        <v>25</v>
      </c>
      <c r="D3">
        <v>2015</v>
      </c>
      <c r="E3">
        <v>2016</v>
      </c>
      <c r="F3" s="2">
        <v>18044289736.52</v>
      </c>
      <c r="G3" s="2">
        <v>14308726680.98</v>
      </c>
      <c r="H3">
        <v>-20.702100000000002</v>
      </c>
    </row>
    <row r="4" spans="1:8" x14ac:dyDescent="0.25">
      <c r="A4">
        <v>1</v>
      </c>
      <c r="B4" t="s">
        <v>7</v>
      </c>
      <c r="C4" t="s">
        <v>26</v>
      </c>
      <c r="D4">
        <v>2015</v>
      </c>
      <c r="E4">
        <v>2016</v>
      </c>
      <c r="F4" s="2">
        <v>69189785248.779999</v>
      </c>
      <c r="G4" s="2">
        <v>49252388143.309998</v>
      </c>
      <c r="H4">
        <v>-28.8155</v>
      </c>
    </row>
    <row r="5" spans="1:8" x14ac:dyDescent="0.25">
      <c r="A5">
        <v>1</v>
      </c>
      <c r="B5" t="s">
        <v>7</v>
      </c>
      <c r="C5" t="s">
        <v>4</v>
      </c>
      <c r="D5">
        <v>2015</v>
      </c>
      <c r="E5">
        <v>2016</v>
      </c>
      <c r="F5" s="2">
        <v>6130918269.7399998</v>
      </c>
      <c r="G5" s="2">
        <v>3174057240.1399999</v>
      </c>
      <c r="H5">
        <v>-48.2286</v>
      </c>
    </row>
    <row r="6" spans="1:8" x14ac:dyDescent="0.25">
      <c r="A6">
        <v>1</v>
      </c>
      <c r="B6" t="s">
        <v>7</v>
      </c>
      <c r="C6" t="s">
        <v>27</v>
      </c>
      <c r="D6">
        <v>2015</v>
      </c>
      <c r="E6">
        <v>2016</v>
      </c>
      <c r="F6" s="2">
        <v>1123617671.99</v>
      </c>
      <c r="G6" s="2">
        <v>1659123462.4300001</v>
      </c>
      <c r="H6">
        <v>47.658999999999999</v>
      </c>
    </row>
    <row r="7" spans="1:8" x14ac:dyDescent="0.25">
      <c r="A7">
        <v>1</v>
      </c>
      <c r="B7" t="s">
        <v>7</v>
      </c>
      <c r="C7" t="s">
        <v>28</v>
      </c>
      <c r="D7">
        <v>2015</v>
      </c>
      <c r="E7">
        <v>2016</v>
      </c>
      <c r="F7" s="2">
        <v>1205327613.9300001</v>
      </c>
      <c r="G7" s="2">
        <v>640713097.26999998</v>
      </c>
      <c r="H7">
        <v>-46.843200000000003</v>
      </c>
    </row>
    <row r="8" spans="1:8" x14ac:dyDescent="0.25">
      <c r="A8">
        <v>1</v>
      </c>
      <c r="B8" t="s">
        <v>7</v>
      </c>
      <c r="C8" t="s">
        <v>29</v>
      </c>
      <c r="D8">
        <v>2015</v>
      </c>
      <c r="E8">
        <v>2016</v>
      </c>
      <c r="F8" s="2">
        <v>855170630.11000001</v>
      </c>
      <c r="G8" s="2">
        <v>560191985.63999999</v>
      </c>
      <c r="H8">
        <v>-34.493499999999997</v>
      </c>
    </row>
    <row r="9" spans="1:8" x14ac:dyDescent="0.25">
      <c r="A9">
        <v>1</v>
      </c>
      <c r="B9" t="s">
        <v>7</v>
      </c>
      <c r="C9" t="s">
        <v>30</v>
      </c>
      <c r="D9">
        <v>2015</v>
      </c>
      <c r="E9">
        <v>2016</v>
      </c>
      <c r="F9" s="2">
        <v>33346171366.130001</v>
      </c>
      <c r="G9" s="2">
        <v>33130262368.52</v>
      </c>
      <c r="H9">
        <v>-0.64739999999999998</v>
      </c>
    </row>
    <row r="10" spans="1:8" x14ac:dyDescent="0.25">
      <c r="A10">
        <v>1</v>
      </c>
      <c r="B10" t="s">
        <v>7</v>
      </c>
      <c r="C10" t="s">
        <v>31</v>
      </c>
      <c r="D10">
        <v>2015</v>
      </c>
      <c r="E10">
        <v>2016</v>
      </c>
      <c r="F10" s="2">
        <v>684583023.39999998</v>
      </c>
      <c r="G10" s="2">
        <v>227976878.40000001</v>
      </c>
      <c r="H10">
        <v>-66.698400000000007</v>
      </c>
    </row>
    <row r="11" spans="1:8" x14ac:dyDescent="0.25">
      <c r="A11">
        <v>1</v>
      </c>
      <c r="B11" t="s">
        <v>7</v>
      </c>
      <c r="C11" t="s">
        <v>32</v>
      </c>
      <c r="D11">
        <v>2015</v>
      </c>
      <c r="E11">
        <v>2016</v>
      </c>
      <c r="F11" s="2">
        <v>716553122.42999995</v>
      </c>
      <c r="G11" s="2">
        <v>432480011.50999999</v>
      </c>
      <c r="H11">
        <v>-39.644300000000001</v>
      </c>
    </row>
    <row r="12" spans="1:8" x14ac:dyDescent="0.25">
      <c r="A12">
        <v>1</v>
      </c>
      <c r="B12" t="s">
        <v>7</v>
      </c>
      <c r="C12" t="s">
        <v>8</v>
      </c>
      <c r="D12">
        <v>2015</v>
      </c>
      <c r="E12">
        <v>2016</v>
      </c>
      <c r="F12" s="2">
        <v>88600702656.740005</v>
      </c>
      <c r="G12" s="2">
        <v>56311980535.139999</v>
      </c>
      <c r="H12">
        <v>-36.442900000000002</v>
      </c>
    </row>
    <row r="13" spans="1:8" x14ac:dyDescent="0.25">
      <c r="A13">
        <v>1</v>
      </c>
      <c r="B13" t="s">
        <v>7</v>
      </c>
      <c r="C13" t="s">
        <v>33</v>
      </c>
      <c r="D13">
        <v>2015</v>
      </c>
      <c r="E13">
        <v>2016</v>
      </c>
      <c r="F13" s="2">
        <v>1257671884003.47</v>
      </c>
      <c r="G13" s="2">
        <v>951717471966.32996</v>
      </c>
      <c r="H13">
        <v>-24.327000000000002</v>
      </c>
    </row>
    <row r="14" spans="1:8" x14ac:dyDescent="0.25">
      <c r="A14">
        <v>1</v>
      </c>
      <c r="B14" t="s">
        <v>7</v>
      </c>
      <c r="C14" t="s">
        <v>34</v>
      </c>
      <c r="D14">
        <v>2015</v>
      </c>
      <c r="E14">
        <v>2016</v>
      </c>
      <c r="F14" s="2">
        <v>1577419985.55</v>
      </c>
      <c r="G14" s="2">
        <v>612505689.16999996</v>
      </c>
      <c r="H14">
        <v>-61.170400000000001</v>
      </c>
    </row>
    <row r="15" spans="1:8" x14ac:dyDescent="0.25">
      <c r="A15">
        <v>1</v>
      </c>
      <c r="B15" t="s">
        <v>7</v>
      </c>
      <c r="C15" t="s">
        <v>35</v>
      </c>
      <c r="D15">
        <v>2015</v>
      </c>
      <c r="E15">
        <v>2016</v>
      </c>
      <c r="F15" s="2">
        <v>735500226.35000002</v>
      </c>
      <c r="G15" s="2">
        <v>499943964.36000001</v>
      </c>
      <c r="H15">
        <v>-32.026600000000002</v>
      </c>
    </row>
    <row r="16" spans="1:8" x14ac:dyDescent="0.25">
      <c r="A16">
        <v>1</v>
      </c>
      <c r="B16" t="s">
        <v>7</v>
      </c>
      <c r="C16" t="s">
        <v>36</v>
      </c>
      <c r="D16">
        <v>2015</v>
      </c>
      <c r="E16">
        <v>2016</v>
      </c>
      <c r="F16" s="2">
        <v>3017743180.6900001</v>
      </c>
      <c r="G16" s="2">
        <v>1588890019.6700001</v>
      </c>
      <c r="H16">
        <v>-47.348399999999998</v>
      </c>
    </row>
    <row r="17" spans="1:8" x14ac:dyDescent="0.25">
      <c r="A17">
        <v>1</v>
      </c>
      <c r="B17" t="s">
        <v>7</v>
      </c>
      <c r="C17" t="s">
        <v>37</v>
      </c>
      <c r="D17">
        <v>2015</v>
      </c>
      <c r="E17">
        <v>2016</v>
      </c>
      <c r="F17" s="2">
        <v>2391943.7200000002</v>
      </c>
      <c r="G17" s="2">
        <v>0</v>
      </c>
      <c r="H17">
        <v>-100</v>
      </c>
    </row>
    <row r="18" spans="1:8" x14ac:dyDescent="0.25">
      <c r="A18">
        <v>1</v>
      </c>
      <c r="B18" t="s">
        <v>7</v>
      </c>
      <c r="C18" t="s">
        <v>38</v>
      </c>
      <c r="D18">
        <v>2015</v>
      </c>
      <c r="E18">
        <v>2016</v>
      </c>
      <c r="F18" s="2">
        <v>2632193076.8200002</v>
      </c>
      <c r="G18" s="2">
        <v>1161923421.26</v>
      </c>
      <c r="H18">
        <v>-55.857199999999999</v>
      </c>
    </row>
    <row r="19" spans="1:8" x14ac:dyDescent="0.25">
      <c r="A19">
        <v>1</v>
      </c>
      <c r="B19" t="s">
        <v>7</v>
      </c>
      <c r="C19" t="s">
        <v>39</v>
      </c>
      <c r="D19">
        <v>2015</v>
      </c>
      <c r="E19">
        <v>2016</v>
      </c>
      <c r="F19" s="2">
        <v>3309134.57</v>
      </c>
      <c r="G19" s="2">
        <v>349729.56</v>
      </c>
      <c r="H19">
        <v>-89.431299999999993</v>
      </c>
    </row>
    <row r="20" spans="1:8" x14ac:dyDescent="0.25">
      <c r="A20">
        <v>1</v>
      </c>
      <c r="B20" t="s">
        <v>7</v>
      </c>
      <c r="C20" t="s">
        <v>40</v>
      </c>
      <c r="D20">
        <v>2015</v>
      </c>
      <c r="E20">
        <v>2016</v>
      </c>
      <c r="F20" s="2">
        <v>781738.6</v>
      </c>
      <c r="G20" s="2">
        <v>457993.31</v>
      </c>
      <c r="H20">
        <v>-41.413400000000003</v>
      </c>
    </row>
    <row r="21" spans="1:8" x14ac:dyDescent="0.25">
      <c r="A21">
        <v>1</v>
      </c>
      <c r="B21" t="s">
        <v>7</v>
      </c>
      <c r="C21" t="s">
        <v>41</v>
      </c>
      <c r="D21">
        <v>2015</v>
      </c>
      <c r="E21">
        <v>2016</v>
      </c>
      <c r="F21" s="2">
        <v>1656759102.29</v>
      </c>
      <c r="G21" s="2">
        <v>1231342667.1800001</v>
      </c>
      <c r="H21">
        <v>-25.677600000000002</v>
      </c>
    </row>
    <row r="22" spans="1:8" x14ac:dyDescent="0.25">
      <c r="A22">
        <v>1</v>
      </c>
      <c r="B22" t="s">
        <v>7</v>
      </c>
      <c r="C22" t="s">
        <v>42</v>
      </c>
      <c r="D22">
        <v>2015</v>
      </c>
      <c r="E22">
        <v>2016</v>
      </c>
      <c r="F22" s="2">
        <v>504024554112.65002</v>
      </c>
      <c r="G22" s="2">
        <v>337398221055.56</v>
      </c>
      <c r="H22">
        <v>-33.059100000000001</v>
      </c>
    </row>
    <row r="23" spans="1:8" x14ac:dyDescent="0.25">
      <c r="A23">
        <v>1</v>
      </c>
      <c r="B23" t="s">
        <v>7</v>
      </c>
      <c r="C23" t="s">
        <v>43</v>
      </c>
      <c r="D23">
        <v>2015</v>
      </c>
      <c r="E23">
        <v>2016</v>
      </c>
      <c r="F23" s="2">
        <v>3094844304.2199998</v>
      </c>
      <c r="G23" s="2">
        <v>1653755373.9300001</v>
      </c>
      <c r="H23">
        <v>-46.564100000000003</v>
      </c>
    </row>
    <row r="24" spans="1:8" x14ac:dyDescent="0.25">
      <c r="A24">
        <v>1</v>
      </c>
      <c r="B24" t="s">
        <v>7</v>
      </c>
      <c r="C24" t="s">
        <v>44</v>
      </c>
      <c r="D24">
        <v>2015</v>
      </c>
      <c r="E24">
        <v>2016</v>
      </c>
      <c r="F24" s="2">
        <v>259588717.47999999</v>
      </c>
      <c r="G24" s="2">
        <v>140697463.97999999</v>
      </c>
      <c r="H24">
        <v>-45.799799999999998</v>
      </c>
    </row>
    <row r="25" spans="1:8" x14ac:dyDescent="0.25">
      <c r="A25">
        <v>1</v>
      </c>
      <c r="B25" t="s">
        <v>7</v>
      </c>
      <c r="C25" t="s">
        <v>9</v>
      </c>
      <c r="D25">
        <v>2015</v>
      </c>
      <c r="E25">
        <v>2016</v>
      </c>
      <c r="F25" s="2">
        <v>93864923546.899994</v>
      </c>
      <c r="G25" s="2">
        <v>61736779973.849998</v>
      </c>
      <c r="H25">
        <v>-34.228000000000002</v>
      </c>
    </row>
    <row r="26" spans="1:8" x14ac:dyDescent="0.25">
      <c r="A26">
        <v>1</v>
      </c>
      <c r="B26" t="s">
        <v>7</v>
      </c>
      <c r="C26" t="s">
        <v>10</v>
      </c>
      <c r="D26">
        <v>2015</v>
      </c>
      <c r="E26">
        <v>2016</v>
      </c>
      <c r="F26" s="2">
        <v>7753676460.0799999</v>
      </c>
      <c r="G26" s="2">
        <v>5041396008.2399998</v>
      </c>
      <c r="H26">
        <v>-34.980499999999999</v>
      </c>
    </row>
    <row r="27" spans="1:8" x14ac:dyDescent="0.25">
      <c r="A27">
        <v>1</v>
      </c>
      <c r="B27" t="s">
        <v>7</v>
      </c>
      <c r="C27" t="s">
        <v>45</v>
      </c>
      <c r="D27">
        <v>2015</v>
      </c>
      <c r="E27">
        <v>2016</v>
      </c>
      <c r="F27" s="2">
        <v>65319558562.760002</v>
      </c>
      <c r="G27" s="2">
        <v>52034733604.709999</v>
      </c>
      <c r="H27">
        <v>-20.338200000000001</v>
      </c>
    </row>
    <row r="28" spans="1:8" x14ac:dyDescent="0.25">
      <c r="A28">
        <v>1</v>
      </c>
      <c r="B28" t="s">
        <v>7</v>
      </c>
      <c r="C28" t="s">
        <v>46</v>
      </c>
      <c r="D28">
        <v>2015</v>
      </c>
      <c r="E28">
        <v>2016</v>
      </c>
      <c r="F28" s="2">
        <v>9754913514.1299992</v>
      </c>
      <c r="G28" s="2">
        <v>4415195811.8699999</v>
      </c>
      <c r="H28">
        <v>-54.738700000000001</v>
      </c>
    </row>
    <row r="29" spans="1:8" x14ac:dyDescent="0.25">
      <c r="A29">
        <v>1</v>
      </c>
      <c r="B29" t="s">
        <v>7</v>
      </c>
      <c r="C29" t="s">
        <v>47</v>
      </c>
      <c r="D29">
        <v>2015</v>
      </c>
      <c r="E29">
        <v>2016</v>
      </c>
      <c r="F29" s="2">
        <v>1133010594.6199999</v>
      </c>
      <c r="G29" s="2">
        <v>692981308.03999996</v>
      </c>
      <c r="H29">
        <v>-38.8371</v>
      </c>
    </row>
    <row r="30" spans="1:8" x14ac:dyDescent="0.25">
      <c r="A30">
        <v>2</v>
      </c>
      <c r="B30" t="s">
        <v>6</v>
      </c>
      <c r="C30" t="s">
        <v>24</v>
      </c>
      <c r="D30">
        <v>2016</v>
      </c>
      <c r="E30">
        <v>2017</v>
      </c>
      <c r="F30" s="2">
        <v>8962012268.4899998</v>
      </c>
      <c r="G30" s="2">
        <v>26574917895.439999</v>
      </c>
      <c r="H30">
        <v>196.5284</v>
      </c>
    </row>
    <row r="31" spans="1:8" x14ac:dyDescent="0.25">
      <c r="A31">
        <v>2</v>
      </c>
      <c r="B31" t="s">
        <v>6</v>
      </c>
      <c r="C31" t="s">
        <v>24</v>
      </c>
      <c r="D31">
        <v>2017</v>
      </c>
      <c r="E31">
        <v>2018</v>
      </c>
      <c r="F31" s="2">
        <v>26574917895.439999</v>
      </c>
      <c r="G31" s="2">
        <v>28399818704.540001</v>
      </c>
      <c r="H31">
        <v>6.867</v>
      </c>
    </row>
    <row r="32" spans="1:8" x14ac:dyDescent="0.25">
      <c r="A32">
        <v>2</v>
      </c>
      <c r="B32" t="s">
        <v>6</v>
      </c>
      <c r="C32" t="s">
        <v>25</v>
      </c>
      <c r="D32">
        <v>2016</v>
      </c>
      <c r="E32">
        <v>2017</v>
      </c>
      <c r="F32" s="2">
        <v>5432931932.5600004</v>
      </c>
      <c r="G32" s="2">
        <v>15309417801.059999</v>
      </c>
      <c r="H32">
        <v>181.78919999999999</v>
      </c>
    </row>
    <row r="33" spans="1:8" x14ac:dyDescent="0.25">
      <c r="A33">
        <v>2</v>
      </c>
      <c r="B33" t="s">
        <v>6</v>
      </c>
      <c r="C33" t="s">
        <v>25</v>
      </c>
      <c r="D33">
        <v>2017</v>
      </c>
      <c r="E33">
        <v>2018</v>
      </c>
      <c r="F33" s="2">
        <v>15309417801.059999</v>
      </c>
      <c r="G33" s="2">
        <v>15860183302.200001</v>
      </c>
      <c r="H33">
        <v>3.5975000000000001</v>
      </c>
    </row>
    <row r="34" spans="1:8" x14ac:dyDescent="0.25">
      <c r="A34">
        <v>2</v>
      </c>
      <c r="B34" t="s">
        <v>6</v>
      </c>
      <c r="C34" t="s">
        <v>26</v>
      </c>
      <c r="D34">
        <v>2016</v>
      </c>
      <c r="E34">
        <v>2017</v>
      </c>
      <c r="F34" s="2">
        <v>28312911013.130001</v>
      </c>
      <c r="G34" s="2">
        <v>83092410148.940002</v>
      </c>
      <c r="H34">
        <v>193.47880000000001</v>
      </c>
    </row>
    <row r="35" spans="1:8" x14ac:dyDescent="0.25">
      <c r="A35">
        <v>2</v>
      </c>
      <c r="B35" t="s">
        <v>6</v>
      </c>
      <c r="C35" t="s">
        <v>26</v>
      </c>
      <c r="D35">
        <v>2017</v>
      </c>
      <c r="E35">
        <v>2018</v>
      </c>
      <c r="F35" s="2">
        <v>83092410148.940002</v>
      </c>
      <c r="G35" s="2">
        <v>85896620680.369995</v>
      </c>
      <c r="H35">
        <v>3.3748</v>
      </c>
    </row>
    <row r="36" spans="1:8" x14ac:dyDescent="0.25">
      <c r="A36">
        <v>2</v>
      </c>
      <c r="B36" t="s">
        <v>6</v>
      </c>
      <c r="C36" t="s">
        <v>4</v>
      </c>
      <c r="D36">
        <v>2016</v>
      </c>
      <c r="E36">
        <v>2017</v>
      </c>
      <c r="F36" s="2">
        <v>2952342027.6300001</v>
      </c>
      <c r="G36" s="2">
        <v>6343391142.5600004</v>
      </c>
      <c r="H36">
        <v>114.8596</v>
      </c>
    </row>
    <row r="37" spans="1:8" x14ac:dyDescent="0.25">
      <c r="A37">
        <v>2</v>
      </c>
      <c r="B37" t="s">
        <v>6</v>
      </c>
      <c r="C37" t="s">
        <v>4</v>
      </c>
      <c r="D37">
        <v>2017</v>
      </c>
      <c r="E37">
        <v>2018</v>
      </c>
      <c r="F37" s="2">
        <v>6343391142.5600004</v>
      </c>
      <c r="G37" s="2">
        <v>6482826000.9200001</v>
      </c>
      <c r="H37">
        <v>2.1981000000000002</v>
      </c>
    </row>
    <row r="38" spans="1:8" x14ac:dyDescent="0.25">
      <c r="A38">
        <v>2</v>
      </c>
      <c r="B38" t="s">
        <v>6</v>
      </c>
      <c r="C38" t="s">
        <v>27</v>
      </c>
      <c r="D38">
        <v>2016</v>
      </c>
      <c r="E38">
        <v>2017</v>
      </c>
      <c r="F38" s="2">
        <v>739897448.53999996</v>
      </c>
      <c r="G38" s="2">
        <v>2136136452.0799999</v>
      </c>
      <c r="H38">
        <v>188.70699999999999</v>
      </c>
    </row>
    <row r="39" spans="1:8" x14ac:dyDescent="0.25">
      <c r="A39">
        <v>2</v>
      </c>
      <c r="B39" t="s">
        <v>6</v>
      </c>
      <c r="C39" t="s">
        <v>27</v>
      </c>
      <c r="D39">
        <v>2017</v>
      </c>
      <c r="E39">
        <v>2018</v>
      </c>
      <c r="F39" s="2">
        <v>2136136452.0799999</v>
      </c>
      <c r="G39" s="2">
        <v>2712252943.3800001</v>
      </c>
      <c r="H39">
        <v>26.97</v>
      </c>
    </row>
    <row r="40" spans="1:8" x14ac:dyDescent="0.25">
      <c r="A40">
        <v>2</v>
      </c>
      <c r="B40" t="s">
        <v>6</v>
      </c>
      <c r="C40" t="s">
        <v>28</v>
      </c>
      <c r="D40">
        <v>2016</v>
      </c>
      <c r="E40">
        <v>2017</v>
      </c>
      <c r="F40" s="2">
        <v>691800357.59000003</v>
      </c>
      <c r="G40" s="2">
        <v>1156929611.1099999</v>
      </c>
      <c r="H40">
        <v>67.2346</v>
      </c>
    </row>
    <row r="41" spans="1:8" x14ac:dyDescent="0.25">
      <c r="A41">
        <v>2</v>
      </c>
      <c r="B41" t="s">
        <v>6</v>
      </c>
      <c r="C41" t="s">
        <v>28</v>
      </c>
      <c r="D41">
        <v>2017</v>
      </c>
      <c r="E41">
        <v>2018</v>
      </c>
      <c r="F41" s="2">
        <v>1156929611.1099999</v>
      </c>
      <c r="G41" s="2">
        <v>1167687933.98</v>
      </c>
      <c r="H41">
        <v>0.92989999999999995</v>
      </c>
    </row>
    <row r="42" spans="1:8" x14ac:dyDescent="0.25">
      <c r="A42">
        <v>2</v>
      </c>
      <c r="B42" t="s">
        <v>6</v>
      </c>
      <c r="C42" t="s">
        <v>29</v>
      </c>
      <c r="D42">
        <v>2016</v>
      </c>
      <c r="E42">
        <v>2017</v>
      </c>
      <c r="F42" s="2">
        <v>391330634.22000003</v>
      </c>
      <c r="G42" s="2">
        <v>1020634929.61</v>
      </c>
      <c r="H42">
        <v>160.81139999999999</v>
      </c>
    </row>
    <row r="43" spans="1:8" x14ac:dyDescent="0.25">
      <c r="A43">
        <v>2</v>
      </c>
      <c r="B43" t="s">
        <v>6</v>
      </c>
      <c r="C43" t="s">
        <v>29</v>
      </c>
      <c r="D43">
        <v>2017</v>
      </c>
      <c r="E43">
        <v>2018</v>
      </c>
      <c r="F43" s="2">
        <v>1020634929.61</v>
      </c>
      <c r="G43" s="2">
        <v>988614887.89999998</v>
      </c>
      <c r="H43">
        <v>-3.1372</v>
      </c>
    </row>
    <row r="44" spans="1:8" x14ac:dyDescent="0.25">
      <c r="A44">
        <v>2</v>
      </c>
      <c r="B44" t="s">
        <v>6</v>
      </c>
      <c r="C44" t="s">
        <v>30</v>
      </c>
      <c r="D44">
        <v>2016</v>
      </c>
      <c r="E44">
        <v>2017</v>
      </c>
      <c r="F44" s="2">
        <v>24140935938.049999</v>
      </c>
      <c r="G44" s="2">
        <v>63164587760.959999</v>
      </c>
      <c r="H44">
        <v>161.64920000000001</v>
      </c>
    </row>
    <row r="45" spans="1:8" x14ac:dyDescent="0.25">
      <c r="A45">
        <v>2</v>
      </c>
      <c r="B45" t="s">
        <v>6</v>
      </c>
      <c r="C45" t="s">
        <v>30</v>
      </c>
      <c r="D45">
        <v>2017</v>
      </c>
      <c r="E45">
        <v>2018</v>
      </c>
      <c r="F45" s="2">
        <v>63164587760.959999</v>
      </c>
      <c r="G45" s="2">
        <v>67417523363.32</v>
      </c>
      <c r="H45">
        <v>6.7331000000000003</v>
      </c>
    </row>
    <row r="46" spans="1:8" x14ac:dyDescent="0.25">
      <c r="A46">
        <v>2</v>
      </c>
      <c r="B46" t="s">
        <v>6</v>
      </c>
      <c r="C46" t="s">
        <v>31</v>
      </c>
      <c r="D46">
        <v>2016</v>
      </c>
      <c r="E46">
        <v>2017</v>
      </c>
      <c r="F46" s="2">
        <v>277746956.11000001</v>
      </c>
      <c r="G46" s="2">
        <v>316362081.75</v>
      </c>
      <c r="H46">
        <v>13.902900000000001</v>
      </c>
    </row>
    <row r="47" spans="1:8" x14ac:dyDescent="0.25">
      <c r="A47">
        <v>2</v>
      </c>
      <c r="B47" t="s">
        <v>6</v>
      </c>
      <c r="C47" t="s">
        <v>31</v>
      </c>
      <c r="D47">
        <v>2017</v>
      </c>
      <c r="E47">
        <v>2018</v>
      </c>
      <c r="F47" s="2">
        <v>316362081.75</v>
      </c>
      <c r="G47" s="2">
        <v>267903040.28999999</v>
      </c>
      <c r="H47">
        <v>-15.317500000000001</v>
      </c>
    </row>
    <row r="48" spans="1:8" x14ac:dyDescent="0.25">
      <c r="A48">
        <v>2</v>
      </c>
      <c r="B48" t="s">
        <v>6</v>
      </c>
      <c r="C48" t="s">
        <v>32</v>
      </c>
      <c r="D48">
        <v>2016</v>
      </c>
      <c r="E48">
        <v>2017</v>
      </c>
      <c r="F48" s="2">
        <v>1405985808.3900001</v>
      </c>
      <c r="G48" s="2">
        <v>1423504565.9400001</v>
      </c>
      <c r="H48">
        <v>1.246</v>
      </c>
    </row>
    <row r="49" spans="1:8" x14ac:dyDescent="0.25">
      <c r="A49">
        <v>2</v>
      </c>
      <c r="B49" t="s">
        <v>6</v>
      </c>
      <c r="C49" t="s">
        <v>32</v>
      </c>
      <c r="D49">
        <v>2017</v>
      </c>
      <c r="E49">
        <v>2018</v>
      </c>
      <c r="F49" s="2">
        <v>1423504565.9400001</v>
      </c>
      <c r="G49" s="2">
        <v>901728713.53999996</v>
      </c>
      <c r="H49">
        <v>-36.654299999999999</v>
      </c>
    </row>
    <row r="50" spans="1:8" x14ac:dyDescent="0.25">
      <c r="A50">
        <v>2</v>
      </c>
      <c r="B50" t="s">
        <v>6</v>
      </c>
      <c r="C50" t="s">
        <v>8</v>
      </c>
      <c r="D50">
        <v>2016</v>
      </c>
      <c r="E50">
        <v>2017</v>
      </c>
      <c r="F50" s="2">
        <v>38872485858.589996</v>
      </c>
      <c r="G50" s="2">
        <v>101815636008</v>
      </c>
      <c r="H50">
        <v>161.9221</v>
      </c>
    </row>
    <row r="51" spans="1:8" x14ac:dyDescent="0.25">
      <c r="A51">
        <v>2</v>
      </c>
      <c r="B51" t="s">
        <v>6</v>
      </c>
      <c r="C51" t="s">
        <v>8</v>
      </c>
      <c r="D51">
        <v>2017</v>
      </c>
      <c r="E51">
        <v>2018</v>
      </c>
      <c r="F51" s="2">
        <v>101815636008</v>
      </c>
      <c r="G51" s="2">
        <v>95590471550.919998</v>
      </c>
      <c r="H51">
        <v>-6.1140999999999996</v>
      </c>
    </row>
    <row r="52" spans="1:8" x14ac:dyDescent="0.25">
      <c r="A52">
        <v>2</v>
      </c>
      <c r="B52" t="s">
        <v>6</v>
      </c>
      <c r="C52" t="s">
        <v>33</v>
      </c>
      <c r="D52">
        <v>2016</v>
      </c>
      <c r="E52">
        <v>2017</v>
      </c>
      <c r="F52" s="2">
        <v>478249169087.46002</v>
      </c>
      <c r="G52" s="2">
        <v>1260605427591.3601</v>
      </c>
      <c r="H52">
        <v>163.58750000000001</v>
      </c>
    </row>
    <row r="53" spans="1:8" x14ac:dyDescent="0.25">
      <c r="A53">
        <v>2</v>
      </c>
      <c r="B53" t="s">
        <v>6</v>
      </c>
      <c r="C53" t="s">
        <v>33</v>
      </c>
      <c r="D53">
        <v>2017</v>
      </c>
      <c r="E53">
        <v>2018</v>
      </c>
      <c r="F53" s="2">
        <v>1260605427591.3601</v>
      </c>
      <c r="G53" s="2">
        <v>1374288385528.74</v>
      </c>
      <c r="H53">
        <v>9.0181000000000004</v>
      </c>
    </row>
    <row r="54" spans="1:8" x14ac:dyDescent="0.25">
      <c r="A54">
        <v>2</v>
      </c>
      <c r="B54" t="s">
        <v>6</v>
      </c>
      <c r="C54" t="s">
        <v>34</v>
      </c>
      <c r="D54">
        <v>2016</v>
      </c>
      <c r="E54">
        <v>2017</v>
      </c>
      <c r="F54" s="2">
        <v>1092863794.8900001</v>
      </c>
      <c r="G54" s="2">
        <v>1798372044.1500001</v>
      </c>
      <c r="H54">
        <v>64.555899999999994</v>
      </c>
    </row>
    <row r="55" spans="1:8" x14ac:dyDescent="0.25">
      <c r="A55">
        <v>2</v>
      </c>
      <c r="B55" t="s">
        <v>6</v>
      </c>
      <c r="C55" t="s">
        <v>34</v>
      </c>
      <c r="D55">
        <v>2017</v>
      </c>
      <c r="E55">
        <v>2018</v>
      </c>
      <c r="F55" s="2">
        <v>1798372044.1500001</v>
      </c>
      <c r="G55" s="2">
        <v>1827181463.54</v>
      </c>
      <c r="H55">
        <v>1.6019000000000001</v>
      </c>
    </row>
    <row r="56" spans="1:8" x14ac:dyDescent="0.25">
      <c r="A56">
        <v>2</v>
      </c>
      <c r="B56" t="s">
        <v>6</v>
      </c>
      <c r="C56" t="s">
        <v>35</v>
      </c>
      <c r="D56">
        <v>2016</v>
      </c>
      <c r="E56">
        <v>2017</v>
      </c>
      <c r="F56" s="2">
        <v>300546539.38999999</v>
      </c>
      <c r="G56" s="2">
        <v>816741209.90999997</v>
      </c>
      <c r="H56">
        <v>171.75190000000001</v>
      </c>
    </row>
    <row r="57" spans="1:8" x14ac:dyDescent="0.25">
      <c r="A57">
        <v>2</v>
      </c>
      <c r="B57" t="s">
        <v>6</v>
      </c>
      <c r="C57" t="s">
        <v>35</v>
      </c>
      <c r="D57">
        <v>2017</v>
      </c>
      <c r="E57">
        <v>2018</v>
      </c>
      <c r="F57" s="2">
        <v>816741209.90999997</v>
      </c>
      <c r="G57" s="2">
        <v>734425748.82000005</v>
      </c>
      <c r="H57">
        <v>-10.0785</v>
      </c>
    </row>
    <row r="58" spans="1:8" x14ac:dyDescent="0.25">
      <c r="A58">
        <v>2</v>
      </c>
      <c r="B58" t="s">
        <v>6</v>
      </c>
      <c r="C58" t="s">
        <v>36</v>
      </c>
      <c r="D58">
        <v>2016</v>
      </c>
      <c r="E58">
        <v>2017</v>
      </c>
      <c r="F58" s="2">
        <v>1818769276.24</v>
      </c>
      <c r="G58" s="2">
        <v>3103208358.4099998</v>
      </c>
      <c r="H58">
        <v>70.621300000000005</v>
      </c>
    </row>
    <row r="59" spans="1:8" x14ac:dyDescent="0.25">
      <c r="A59">
        <v>2</v>
      </c>
      <c r="B59" t="s">
        <v>6</v>
      </c>
      <c r="C59" t="s">
        <v>36</v>
      </c>
      <c r="D59">
        <v>2017</v>
      </c>
      <c r="E59">
        <v>2018</v>
      </c>
      <c r="F59" s="2">
        <v>3103208358.4099998</v>
      </c>
      <c r="G59" s="2">
        <v>3472165707.2800002</v>
      </c>
      <c r="H59">
        <v>11.8895</v>
      </c>
    </row>
    <row r="60" spans="1:8" x14ac:dyDescent="0.25">
      <c r="A60">
        <v>2</v>
      </c>
      <c r="B60" t="s">
        <v>6</v>
      </c>
      <c r="C60" t="s">
        <v>37</v>
      </c>
      <c r="D60">
        <v>2016</v>
      </c>
      <c r="E60">
        <v>2017</v>
      </c>
      <c r="F60" s="2">
        <v>9405847.4000000004</v>
      </c>
      <c r="G60" s="2">
        <v>6221014.3499999996</v>
      </c>
      <c r="H60">
        <v>-33.860100000000003</v>
      </c>
    </row>
    <row r="61" spans="1:8" x14ac:dyDescent="0.25">
      <c r="A61">
        <v>2</v>
      </c>
      <c r="B61" t="s">
        <v>6</v>
      </c>
      <c r="C61" t="s">
        <v>37</v>
      </c>
      <c r="D61">
        <v>2017</v>
      </c>
      <c r="E61">
        <v>2018</v>
      </c>
      <c r="F61" s="2">
        <v>6221014.3499999996</v>
      </c>
      <c r="G61" s="2">
        <v>5675724.3899999997</v>
      </c>
      <c r="H61">
        <v>-8.7652000000000001</v>
      </c>
    </row>
    <row r="62" spans="1:8" x14ac:dyDescent="0.25">
      <c r="A62">
        <v>2</v>
      </c>
      <c r="B62" t="s">
        <v>6</v>
      </c>
      <c r="C62" t="s">
        <v>38</v>
      </c>
      <c r="D62">
        <v>2016</v>
      </c>
      <c r="E62">
        <v>2017</v>
      </c>
      <c r="F62" s="2">
        <v>919174181.15999997</v>
      </c>
      <c r="G62" s="2">
        <v>2161591657.46</v>
      </c>
      <c r="H62">
        <v>135.16669999999999</v>
      </c>
    </row>
    <row r="63" spans="1:8" x14ac:dyDescent="0.25">
      <c r="A63">
        <v>2</v>
      </c>
      <c r="B63" t="s">
        <v>6</v>
      </c>
      <c r="C63" t="s">
        <v>38</v>
      </c>
      <c r="D63">
        <v>2017</v>
      </c>
      <c r="E63">
        <v>2018</v>
      </c>
      <c r="F63" s="2">
        <v>2161591657.46</v>
      </c>
      <c r="G63" s="2">
        <v>2023224824.0799999</v>
      </c>
      <c r="H63">
        <v>-6.4010999999999996</v>
      </c>
    </row>
    <row r="64" spans="1:8" x14ac:dyDescent="0.25">
      <c r="A64">
        <v>2</v>
      </c>
      <c r="B64" t="s">
        <v>6</v>
      </c>
      <c r="C64" t="s">
        <v>39</v>
      </c>
      <c r="D64">
        <v>2016</v>
      </c>
      <c r="E64">
        <v>2017</v>
      </c>
      <c r="F64" s="2">
        <v>31102535.629999999</v>
      </c>
      <c r="G64" s="2">
        <v>21401411.84</v>
      </c>
      <c r="H64">
        <v>-31.1907</v>
      </c>
    </row>
    <row r="65" spans="1:8" x14ac:dyDescent="0.25">
      <c r="A65">
        <v>2</v>
      </c>
      <c r="B65" t="s">
        <v>6</v>
      </c>
      <c r="C65" t="s">
        <v>39</v>
      </c>
      <c r="D65">
        <v>2017</v>
      </c>
      <c r="E65">
        <v>2018</v>
      </c>
      <c r="F65" s="2">
        <v>21401411.84</v>
      </c>
      <c r="G65" s="2">
        <v>41927400.969999999</v>
      </c>
      <c r="H65">
        <v>95.909499999999994</v>
      </c>
    </row>
    <row r="66" spans="1:8" x14ac:dyDescent="0.25">
      <c r="A66">
        <v>2</v>
      </c>
      <c r="B66" t="s">
        <v>6</v>
      </c>
      <c r="C66" t="s">
        <v>40</v>
      </c>
      <c r="D66">
        <v>2016</v>
      </c>
      <c r="E66">
        <v>2017</v>
      </c>
      <c r="F66" s="2">
        <v>618913.21</v>
      </c>
      <c r="G66" s="2">
        <v>1348077.71</v>
      </c>
      <c r="H66">
        <v>117.81359999999999</v>
      </c>
    </row>
    <row r="67" spans="1:8" x14ac:dyDescent="0.25">
      <c r="A67">
        <v>2</v>
      </c>
      <c r="B67" t="s">
        <v>6</v>
      </c>
      <c r="C67" t="s">
        <v>40</v>
      </c>
      <c r="D67">
        <v>2017</v>
      </c>
      <c r="E67">
        <v>2018</v>
      </c>
      <c r="F67" s="2">
        <v>1348077.71</v>
      </c>
      <c r="G67" s="2">
        <v>1839636.09</v>
      </c>
      <c r="H67">
        <v>36.4636</v>
      </c>
    </row>
    <row r="68" spans="1:8" x14ac:dyDescent="0.25">
      <c r="A68">
        <v>2</v>
      </c>
      <c r="B68" t="s">
        <v>6</v>
      </c>
      <c r="C68" t="s">
        <v>41</v>
      </c>
      <c r="D68">
        <v>2016</v>
      </c>
      <c r="E68">
        <v>2017</v>
      </c>
      <c r="F68" s="2">
        <v>1068857579.63</v>
      </c>
      <c r="G68" s="2">
        <v>1821925242.29</v>
      </c>
      <c r="H68">
        <v>70.455299999999994</v>
      </c>
    </row>
    <row r="69" spans="1:8" x14ac:dyDescent="0.25">
      <c r="A69">
        <v>2</v>
      </c>
      <c r="B69" t="s">
        <v>6</v>
      </c>
      <c r="C69" t="s">
        <v>41</v>
      </c>
      <c r="D69">
        <v>2017</v>
      </c>
      <c r="E69">
        <v>2018</v>
      </c>
      <c r="F69" s="2">
        <v>1821925242.29</v>
      </c>
      <c r="G69" s="2">
        <v>1567985366.51</v>
      </c>
      <c r="H69">
        <v>-13.937900000000001</v>
      </c>
    </row>
    <row r="70" spans="1:8" x14ac:dyDescent="0.25">
      <c r="A70">
        <v>2</v>
      </c>
      <c r="B70" t="s">
        <v>6</v>
      </c>
      <c r="C70" t="s">
        <v>42</v>
      </c>
      <c r="D70">
        <v>2016</v>
      </c>
      <c r="E70">
        <v>2017</v>
      </c>
      <c r="F70" s="2">
        <v>230988963272.95001</v>
      </c>
      <c r="G70" s="2">
        <v>624390638958.39001</v>
      </c>
      <c r="H70">
        <v>170.31180000000001</v>
      </c>
    </row>
    <row r="71" spans="1:8" x14ac:dyDescent="0.25">
      <c r="A71">
        <v>2</v>
      </c>
      <c r="B71" t="s">
        <v>6</v>
      </c>
      <c r="C71" t="s">
        <v>42</v>
      </c>
      <c r="D71">
        <v>2017</v>
      </c>
      <c r="E71">
        <v>2018</v>
      </c>
      <c r="F71" s="2">
        <v>624390638958.39001</v>
      </c>
      <c r="G71" s="2">
        <v>629162663401.53003</v>
      </c>
      <c r="H71">
        <v>0.76419999999999999</v>
      </c>
    </row>
    <row r="72" spans="1:8" x14ac:dyDescent="0.25">
      <c r="A72">
        <v>2</v>
      </c>
      <c r="B72" t="s">
        <v>6</v>
      </c>
      <c r="C72" t="s">
        <v>43</v>
      </c>
      <c r="D72">
        <v>2016</v>
      </c>
      <c r="E72">
        <v>2017</v>
      </c>
      <c r="F72" s="2">
        <v>1149486019.9300001</v>
      </c>
      <c r="G72" s="2">
        <v>2896387732.3899999</v>
      </c>
      <c r="H72">
        <v>151.97239999999999</v>
      </c>
    </row>
    <row r="73" spans="1:8" x14ac:dyDescent="0.25">
      <c r="A73">
        <v>2</v>
      </c>
      <c r="B73" t="s">
        <v>6</v>
      </c>
      <c r="C73" t="s">
        <v>43</v>
      </c>
      <c r="D73">
        <v>2017</v>
      </c>
      <c r="E73">
        <v>2018</v>
      </c>
      <c r="F73" s="2">
        <v>2896387732.3899999</v>
      </c>
      <c r="G73" s="2">
        <v>3123472375.1999998</v>
      </c>
      <c r="H73">
        <v>7.8402000000000003</v>
      </c>
    </row>
    <row r="74" spans="1:8" x14ac:dyDescent="0.25">
      <c r="A74">
        <v>2</v>
      </c>
      <c r="B74" t="s">
        <v>6</v>
      </c>
      <c r="C74" t="s">
        <v>44</v>
      </c>
      <c r="D74">
        <v>2016</v>
      </c>
      <c r="E74">
        <v>2017</v>
      </c>
      <c r="F74" s="2">
        <v>268320806.84</v>
      </c>
      <c r="G74" s="2">
        <v>714602964.13999999</v>
      </c>
      <c r="H74">
        <v>166.32400000000001</v>
      </c>
    </row>
    <row r="75" spans="1:8" x14ac:dyDescent="0.25">
      <c r="A75">
        <v>2</v>
      </c>
      <c r="B75" t="s">
        <v>6</v>
      </c>
      <c r="C75" t="s">
        <v>44</v>
      </c>
      <c r="D75">
        <v>2017</v>
      </c>
      <c r="E75">
        <v>2018</v>
      </c>
      <c r="F75" s="2">
        <v>714602964.13999999</v>
      </c>
      <c r="G75" s="2">
        <v>558409625.47000003</v>
      </c>
      <c r="H75">
        <v>-21.857299999999999</v>
      </c>
    </row>
    <row r="76" spans="1:8" x14ac:dyDescent="0.25">
      <c r="A76">
        <v>2</v>
      </c>
      <c r="B76" t="s">
        <v>6</v>
      </c>
      <c r="C76" t="s">
        <v>9</v>
      </c>
      <c r="D76">
        <v>2016</v>
      </c>
      <c r="E76">
        <v>2017</v>
      </c>
      <c r="F76" s="2">
        <v>38453825333.980003</v>
      </c>
      <c r="G76" s="2">
        <v>102713827690.67999</v>
      </c>
      <c r="H76">
        <v>167.1095</v>
      </c>
    </row>
    <row r="77" spans="1:8" x14ac:dyDescent="0.25">
      <c r="A77">
        <v>2</v>
      </c>
      <c r="B77" t="s">
        <v>6</v>
      </c>
      <c r="C77" t="s">
        <v>9</v>
      </c>
      <c r="D77">
        <v>2017</v>
      </c>
      <c r="E77">
        <v>2018</v>
      </c>
      <c r="F77" s="2">
        <v>102713827690.67999</v>
      </c>
      <c r="G77" s="2">
        <v>108179156538.17</v>
      </c>
      <c r="H77">
        <v>5.3209</v>
      </c>
    </row>
    <row r="78" spans="1:8" x14ac:dyDescent="0.25">
      <c r="A78">
        <v>2</v>
      </c>
      <c r="B78" t="s">
        <v>6</v>
      </c>
      <c r="C78" t="s">
        <v>10</v>
      </c>
      <c r="D78">
        <v>2016</v>
      </c>
      <c r="E78">
        <v>2017</v>
      </c>
      <c r="F78" s="2">
        <v>3381705059.3899999</v>
      </c>
      <c r="G78" s="2">
        <v>9133214442.0599995</v>
      </c>
      <c r="H78">
        <v>170.0772</v>
      </c>
    </row>
    <row r="79" spans="1:8" x14ac:dyDescent="0.25">
      <c r="A79">
        <v>2</v>
      </c>
      <c r="B79" t="s">
        <v>6</v>
      </c>
      <c r="C79" t="s">
        <v>10</v>
      </c>
      <c r="D79">
        <v>2017</v>
      </c>
      <c r="E79">
        <v>2018</v>
      </c>
      <c r="F79" s="2">
        <v>9133214442.0599995</v>
      </c>
      <c r="G79" s="2">
        <v>8820097777.8799992</v>
      </c>
      <c r="H79">
        <v>-3.4283000000000001</v>
      </c>
    </row>
    <row r="80" spans="1:8" x14ac:dyDescent="0.25">
      <c r="A80">
        <v>2</v>
      </c>
      <c r="B80" t="s">
        <v>6</v>
      </c>
      <c r="C80" t="s">
        <v>45</v>
      </c>
      <c r="D80">
        <v>2016</v>
      </c>
      <c r="E80">
        <v>2017</v>
      </c>
      <c r="F80" s="2">
        <v>18007724269.009998</v>
      </c>
      <c r="G80" s="2">
        <v>69304605803.360001</v>
      </c>
      <c r="H80">
        <v>284.86040000000003</v>
      </c>
    </row>
    <row r="81" spans="1:8" x14ac:dyDescent="0.25">
      <c r="A81">
        <v>2</v>
      </c>
      <c r="B81" t="s">
        <v>6</v>
      </c>
      <c r="C81" t="s">
        <v>45</v>
      </c>
      <c r="D81">
        <v>2017</v>
      </c>
      <c r="E81">
        <v>2018</v>
      </c>
      <c r="F81" s="2">
        <v>69304605803.360001</v>
      </c>
      <c r="G81" s="2">
        <v>70289150438.380005</v>
      </c>
      <c r="H81">
        <v>1.4206000000000001</v>
      </c>
    </row>
    <row r="82" spans="1:8" x14ac:dyDescent="0.25">
      <c r="A82">
        <v>2</v>
      </c>
      <c r="B82" t="s">
        <v>6</v>
      </c>
      <c r="C82" t="s">
        <v>46</v>
      </c>
      <c r="D82">
        <v>2016</v>
      </c>
      <c r="E82">
        <v>2017</v>
      </c>
      <c r="F82" s="2">
        <v>5658785540.6300001</v>
      </c>
      <c r="G82" s="2">
        <v>10913109164.52</v>
      </c>
      <c r="H82">
        <v>92.852400000000003</v>
      </c>
    </row>
    <row r="83" spans="1:8" x14ac:dyDescent="0.25">
      <c r="A83">
        <v>2</v>
      </c>
      <c r="B83" t="s">
        <v>6</v>
      </c>
      <c r="C83" t="s">
        <v>46</v>
      </c>
      <c r="D83">
        <v>2017</v>
      </c>
      <c r="E83">
        <v>2018</v>
      </c>
      <c r="F83" s="2">
        <v>10913109164.52</v>
      </c>
      <c r="G83" s="2">
        <v>11459288587.610001</v>
      </c>
      <c r="H83">
        <v>5.0048000000000004</v>
      </c>
    </row>
    <row r="84" spans="1:8" x14ac:dyDescent="0.25">
      <c r="A84">
        <v>2</v>
      </c>
      <c r="B84" t="s">
        <v>6</v>
      </c>
      <c r="C84" t="s">
        <v>47</v>
      </c>
      <c r="D84">
        <v>2016</v>
      </c>
      <c r="E84">
        <v>2017</v>
      </c>
      <c r="F84" s="2">
        <v>835656313.23000002</v>
      </c>
      <c r="G84" s="2">
        <v>1843890667.3599999</v>
      </c>
      <c r="H84">
        <v>120.65170000000001</v>
      </c>
    </row>
    <row r="85" spans="1:8" x14ac:dyDescent="0.25">
      <c r="A85">
        <v>2</v>
      </c>
      <c r="B85" t="s">
        <v>6</v>
      </c>
      <c r="C85" t="s">
        <v>47</v>
      </c>
      <c r="D85">
        <v>2017</v>
      </c>
      <c r="E85">
        <v>2018</v>
      </c>
      <c r="F85" s="2">
        <v>1843890667.3599999</v>
      </c>
      <c r="G85" s="2">
        <v>1604573266.79</v>
      </c>
      <c r="H85">
        <v>-12.978899999999999</v>
      </c>
    </row>
    <row r="86" spans="1:8" x14ac:dyDescent="0.25">
      <c r="A86">
        <v>3</v>
      </c>
      <c r="B86" t="s">
        <v>5</v>
      </c>
      <c r="C86" t="s">
        <v>24</v>
      </c>
      <c r="D86">
        <v>2019</v>
      </c>
      <c r="E86">
        <v>2020</v>
      </c>
      <c r="F86" s="2">
        <v>25614927067.959999</v>
      </c>
      <c r="G86" s="2">
        <v>25725783038.849998</v>
      </c>
      <c r="H86">
        <v>0.43269999999999997</v>
      </c>
    </row>
    <row r="87" spans="1:8" x14ac:dyDescent="0.25">
      <c r="A87">
        <v>3</v>
      </c>
      <c r="B87" t="s">
        <v>5</v>
      </c>
      <c r="C87" t="s">
        <v>24</v>
      </c>
      <c r="D87">
        <v>2020</v>
      </c>
      <c r="E87">
        <v>2021</v>
      </c>
      <c r="F87" s="2">
        <v>25725783038.849998</v>
      </c>
      <c r="G87" s="2">
        <v>25076584356.09</v>
      </c>
      <c r="H87">
        <v>-2.5234999999999999</v>
      </c>
    </row>
    <row r="88" spans="1:8" x14ac:dyDescent="0.25">
      <c r="A88">
        <v>3</v>
      </c>
      <c r="B88" t="s">
        <v>5</v>
      </c>
      <c r="C88" t="s">
        <v>24</v>
      </c>
      <c r="D88">
        <v>2021</v>
      </c>
      <c r="E88">
        <v>2022</v>
      </c>
      <c r="F88" s="2">
        <v>25076584356.09</v>
      </c>
      <c r="G88" s="2">
        <v>24768165621.09</v>
      </c>
      <c r="H88">
        <v>-1.2299</v>
      </c>
    </row>
    <row r="89" spans="1:8" x14ac:dyDescent="0.25">
      <c r="A89">
        <v>3</v>
      </c>
      <c r="B89" t="s">
        <v>5</v>
      </c>
      <c r="C89" t="s">
        <v>25</v>
      </c>
      <c r="D89">
        <v>2019</v>
      </c>
      <c r="E89">
        <v>2020</v>
      </c>
      <c r="F89" s="2">
        <v>14732583927.91</v>
      </c>
      <c r="G89" s="2">
        <v>13046656218.33</v>
      </c>
      <c r="H89">
        <v>-11.4435</v>
      </c>
    </row>
    <row r="90" spans="1:8" x14ac:dyDescent="0.25">
      <c r="A90">
        <v>3</v>
      </c>
      <c r="B90" t="s">
        <v>5</v>
      </c>
      <c r="C90" t="s">
        <v>25</v>
      </c>
      <c r="D90">
        <v>2020</v>
      </c>
      <c r="E90">
        <v>2021</v>
      </c>
      <c r="F90" s="2">
        <v>13046656218.33</v>
      </c>
      <c r="G90" s="2">
        <v>16676422621.700001</v>
      </c>
      <c r="H90">
        <v>27.821400000000001</v>
      </c>
    </row>
    <row r="91" spans="1:8" x14ac:dyDescent="0.25">
      <c r="A91">
        <v>3</v>
      </c>
      <c r="B91" t="s">
        <v>5</v>
      </c>
      <c r="C91" t="s">
        <v>25</v>
      </c>
      <c r="D91">
        <v>2021</v>
      </c>
      <c r="E91">
        <v>2022</v>
      </c>
      <c r="F91" s="2">
        <v>16676422621.700001</v>
      </c>
      <c r="G91" s="2">
        <v>22028561896.330002</v>
      </c>
      <c r="H91">
        <v>32.094000000000001</v>
      </c>
    </row>
    <row r="92" spans="1:8" x14ac:dyDescent="0.25">
      <c r="A92">
        <v>3</v>
      </c>
      <c r="B92" t="s">
        <v>5</v>
      </c>
      <c r="C92" t="s">
        <v>26</v>
      </c>
      <c r="D92">
        <v>2019</v>
      </c>
      <c r="E92">
        <v>2020</v>
      </c>
      <c r="F92" s="2">
        <v>92845668722.410004</v>
      </c>
      <c r="G92" s="2">
        <v>409936624446.09003</v>
      </c>
      <c r="H92">
        <v>341.5247</v>
      </c>
    </row>
    <row r="93" spans="1:8" x14ac:dyDescent="0.25">
      <c r="A93">
        <v>3</v>
      </c>
      <c r="B93" t="s">
        <v>5</v>
      </c>
      <c r="C93" t="s">
        <v>26</v>
      </c>
      <c r="D93">
        <v>2020</v>
      </c>
      <c r="E93">
        <v>2021</v>
      </c>
      <c r="F93" s="2">
        <v>409936624446.09003</v>
      </c>
      <c r="G93" s="2">
        <v>158601987505.76999</v>
      </c>
      <c r="H93">
        <v>-61.310600000000001</v>
      </c>
    </row>
    <row r="94" spans="1:8" x14ac:dyDescent="0.25">
      <c r="A94">
        <v>3</v>
      </c>
      <c r="B94" t="s">
        <v>5</v>
      </c>
      <c r="C94" t="s">
        <v>26</v>
      </c>
      <c r="D94">
        <v>2021</v>
      </c>
      <c r="E94">
        <v>2022</v>
      </c>
      <c r="F94" s="2">
        <v>158601987505.76999</v>
      </c>
      <c r="G94" s="2">
        <v>193498113454.72</v>
      </c>
      <c r="H94">
        <v>22.002300000000002</v>
      </c>
    </row>
    <row r="95" spans="1:8" x14ac:dyDescent="0.25">
      <c r="A95">
        <v>3</v>
      </c>
      <c r="B95" t="s">
        <v>5</v>
      </c>
      <c r="C95" t="s">
        <v>4</v>
      </c>
      <c r="D95">
        <v>2019</v>
      </c>
      <c r="E95">
        <v>2020</v>
      </c>
      <c r="F95" s="2">
        <v>6370731244.8100004</v>
      </c>
      <c r="G95" s="2">
        <v>6214310662.9799995</v>
      </c>
      <c r="H95">
        <v>-2.4552999999999998</v>
      </c>
    </row>
    <row r="96" spans="1:8" x14ac:dyDescent="0.25">
      <c r="A96">
        <v>3</v>
      </c>
      <c r="B96" t="s">
        <v>5</v>
      </c>
      <c r="C96" t="s">
        <v>4</v>
      </c>
      <c r="D96">
        <v>2020</v>
      </c>
      <c r="E96">
        <v>2021</v>
      </c>
      <c r="F96" s="2">
        <v>6214310662.9799995</v>
      </c>
      <c r="G96" s="2">
        <v>4641885734.29</v>
      </c>
      <c r="H96">
        <v>-25.3032</v>
      </c>
    </row>
    <row r="97" spans="1:8" x14ac:dyDescent="0.25">
      <c r="A97">
        <v>3</v>
      </c>
      <c r="B97" t="s">
        <v>5</v>
      </c>
      <c r="C97" t="s">
        <v>4</v>
      </c>
      <c r="D97">
        <v>2021</v>
      </c>
      <c r="E97">
        <v>2022</v>
      </c>
      <c r="F97" s="2">
        <v>4641885734.29</v>
      </c>
      <c r="G97" s="2">
        <v>8251469372.1999998</v>
      </c>
      <c r="H97">
        <v>77.761099999999999</v>
      </c>
    </row>
    <row r="98" spans="1:8" x14ac:dyDescent="0.25">
      <c r="A98">
        <v>3</v>
      </c>
      <c r="B98" t="s">
        <v>5</v>
      </c>
      <c r="C98" t="s">
        <v>27</v>
      </c>
      <c r="D98">
        <v>2019</v>
      </c>
      <c r="E98">
        <v>2020</v>
      </c>
      <c r="F98" s="2">
        <v>1849307025.6500001</v>
      </c>
      <c r="G98" s="2">
        <v>5010965295.1599998</v>
      </c>
      <c r="H98">
        <v>170.96440000000001</v>
      </c>
    </row>
    <row r="99" spans="1:8" x14ac:dyDescent="0.25">
      <c r="A99">
        <v>3</v>
      </c>
      <c r="B99" t="s">
        <v>5</v>
      </c>
      <c r="C99" t="s">
        <v>27</v>
      </c>
      <c r="D99">
        <v>2020</v>
      </c>
      <c r="E99">
        <v>2021</v>
      </c>
      <c r="F99" s="2">
        <v>5010965295.1599998</v>
      </c>
      <c r="G99" s="2">
        <v>1720873403.6900001</v>
      </c>
      <c r="H99">
        <v>-65.657799999999995</v>
      </c>
    </row>
    <row r="100" spans="1:8" x14ac:dyDescent="0.25">
      <c r="A100">
        <v>3</v>
      </c>
      <c r="B100" t="s">
        <v>5</v>
      </c>
      <c r="C100" t="s">
        <v>27</v>
      </c>
      <c r="D100">
        <v>2021</v>
      </c>
      <c r="E100">
        <v>2022</v>
      </c>
      <c r="F100" s="2">
        <v>1720873403.6900001</v>
      </c>
      <c r="G100" s="2">
        <v>1514588691.99</v>
      </c>
      <c r="H100">
        <v>-11.9872</v>
      </c>
    </row>
    <row r="101" spans="1:8" x14ac:dyDescent="0.25">
      <c r="A101">
        <v>3</v>
      </c>
      <c r="B101" t="s">
        <v>5</v>
      </c>
      <c r="C101" t="s">
        <v>28</v>
      </c>
      <c r="D101">
        <v>2019</v>
      </c>
      <c r="E101">
        <v>2020</v>
      </c>
      <c r="F101" s="2">
        <v>1185519728.5599999</v>
      </c>
      <c r="G101" s="2">
        <v>1575257529.8199999</v>
      </c>
      <c r="H101">
        <v>32.8748</v>
      </c>
    </row>
    <row r="102" spans="1:8" x14ac:dyDescent="0.25">
      <c r="A102">
        <v>3</v>
      </c>
      <c r="B102" t="s">
        <v>5</v>
      </c>
      <c r="C102" t="s">
        <v>28</v>
      </c>
      <c r="D102">
        <v>2020</v>
      </c>
      <c r="E102">
        <v>2021</v>
      </c>
      <c r="F102" s="2">
        <v>1575257529.8199999</v>
      </c>
      <c r="G102" s="2">
        <v>2160598237.25</v>
      </c>
      <c r="H102">
        <v>37.1584</v>
      </c>
    </row>
    <row r="103" spans="1:8" x14ac:dyDescent="0.25">
      <c r="A103">
        <v>3</v>
      </c>
      <c r="B103" t="s">
        <v>5</v>
      </c>
      <c r="C103" t="s">
        <v>28</v>
      </c>
      <c r="D103">
        <v>2021</v>
      </c>
      <c r="E103">
        <v>2022</v>
      </c>
      <c r="F103" s="2">
        <v>2160598237.25</v>
      </c>
      <c r="G103" s="2">
        <v>3140080860.6100001</v>
      </c>
      <c r="H103">
        <v>45.333799999999997</v>
      </c>
    </row>
    <row r="104" spans="1:8" x14ac:dyDescent="0.25">
      <c r="A104">
        <v>3</v>
      </c>
      <c r="B104" t="s">
        <v>5</v>
      </c>
      <c r="C104" t="s">
        <v>29</v>
      </c>
      <c r="D104">
        <v>2019</v>
      </c>
      <c r="E104">
        <v>2020</v>
      </c>
      <c r="F104" s="2">
        <v>742439073.85000002</v>
      </c>
      <c r="G104" s="2">
        <v>608669310.62</v>
      </c>
      <c r="H104">
        <v>-18.017600000000002</v>
      </c>
    </row>
    <row r="105" spans="1:8" x14ac:dyDescent="0.25">
      <c r="A105">
        <v>3</v>
      </c>
      <c r="B105" t="s">
        <v>5</v>
      </c>
      <c r="C105" t="s">
        <v>29</v>
      </c>
      <c r="D105">
        <v>2020</v>
      </c>
      <c r="E105">
        <v>2021</v>
      </c>
      <c r="F105" s="2">
        <v>608669310.62</v>
      </c>
      <c r="G105" s="2">
        <v>620115145.87</v>
      </c>
      <c r="H105">
        <v>1.8804000000000001</v>
      </c>
    </row>
    <row r="106" spans="1:8" x14ac:dyDescent="0.25">
      <c r="A106">
        <v>3</v>
      </c>
      <c r="B106" t="s">
        <v>5</v>
      </c>
      <c r="C106" t="s">
        <v>29</v>
      </c>
      <c r="D106">
        <v>2021</v>
      </c>
      <c r="E106">
        <v>2022</v>
      </c>
      <c r="F106" s="2">
        <v>620115145.87</v>
      </c>
      <c r="G106" s="2">
        <v>598807315.75999999</v>
      </c>
      <c r="H106">
        <v>-3.4361000000000002</v>
      </c>
    </row>
    <row r="107" spans="1:8" x14ac:dyDescent="0.25">
      <c r="A107">
        <v>3</v>
      </c>
      <c r="B107" t="s">
        <v>5</v>
      </c>
      <c r="C107" t="s">
        <v>30</v>
      </c>
      <c r="D107">
        <v>2019</v>
      </c>
      <c r="E107">
        <v>2020</v>
      </c>
      <c r="F107" s="2">
        <v>75278095047.289993</v>
      </c>
      <c r="G107" s="2">
        <v>73213062751.690002</v>
      </c>
      <c r="H107">
        <v>-2.7431999999999999</v>
      </c>
    </row>
    <row r="108" spans="1:8" x14ac:dyDescent="0.25">
      <c r="A108">
        <v>3</v>
      </c>
      <c r="B108" t="s">
        <v>5</v>
      </c>
      <c r="C108" t="s">
        <v>30</v>
      </c>
      <c r="D108">
        <v>2020</v>
      </c>
      <c r="E108">
        <v>2021</v>
      </c>
      <c r="F108" s="2">
        <v>73213062751.690002</v>
      </c>
      <c r="G108" s="2">
        <v>74746789886.449997</v>
      </c>
      <c r="H108">
        <v>2.0948000000000002</v>
      </c>
    </row>
    <row r="109" spans="1:8" x14ac:dyDescent="0.25">
      <c r="A109">
        <v>3</v>
      </c>
      <c r="B109" t="s">
        <v>5</v>
      </c>
      <c r="C109" t="s">
        <v>30</v>
      </c>
      <c r="D109">
        <v>2021</v>
      </c>
      <c r="E109">
        <v>2022</v>
      </c>
      <c r="F109" s="2">
        <v>74746789886.449997</v>
      </c>
      <c r="G109" s="2">
        <v>78015333014.410004</v>
      </c>
      <c r="H109">
        <v>4.3727999999999998</v>
      </c>
    </row>
    <row r="110" spans="1:8" x14ac:dyDescent="0.25">
      <c r="A110">
        <v>3</v>
      </c>
      <c r="B110" t="s">
        <v>5</v>
      </c>
      <c r="C110" t="s">
        <v>31</v>
      </c>
      <c r="D110">
        <v>2019</v>
      </c>
      <c r="E110">
        <v>2020</v>
      </c>
      <c r="F110" s="2">
        <v>232152337.50999999</v>
      </c>
      <c r="G110" s="2">
        <v>98729061.480000004</v>
      </c>
      <c r="H110">
        <v>-57.472200000000001</v>
      </c>
    </row>
    <row r="111" spans="1:8" x14ac:dyDescent="0.25">
      <c r="A111">
        <v>3</v>
      </c>
      <c r="B111" t="s">
        <v>5</v>
      </c>
      <c r="C111" t="s">
        <v>31</v>
      </c>
      <c r="D111">
        <v>2020</v>
      </c>
      <c r="E111">
        <v>2021</v>
      </c>
      <c r="F111" s="2">
        <v>98729061.480000004</v>
      </c>
      <c r="G111" s="2">
        <v>213892367.63999999</v>
      </c>
      <c r="H111">
        <v>116.64579999999999</v>
      </c>
    </row>
    <row r="112" spans="1:8" x14ac:dyDescent="0.25">
      <c r="A112">
        <v>3</v>
      </c>
      <c r="B112" t="s">
        <v>5</v>
      </c>
      <c r="C112" t="s">
        <v>31</v>
      </c>
      <c r="D112">
        <v>2021</v>
      </c>
      <c r="E112">
        <v>2022</v>
      </c>
      <c r="F112" s="2">
        <v>213892367.63999999</v>
      </c>
      <c r="G112" s="2">
        <v>289016132.43000001</v>
      </c>
      <c r="H112">
        <v>35.122199999999999</v>
      </c>
    </row>
    <row r="113" spans="1:8" x14ac:dyDescent="0.25">
      <c r="A113">
        <v>3</v>
      </c>
      <c r="B113" t="s">
        <v>5</v>
      </c>
      <c r="C113" t="s">
        <v>32</v>
      </c>
      <c r="D113">
        <v>2019</v>
      </c>
      <c r="E113">
        <v>2020</v>
      </c>
      <c r="F113" s="2">
        <v>891804303.82000005</v>
      </c>
      <c r="G113" s="2">
        <v>945220179.87</v>
      </c>
      <c r="H113">
        <v>5.9896000000000003</v>
      </c>
    </row>
    <row r="114" spans="1:8" x14ac:dyDescent="0.25">
      <c r="A114">
        <v>3</v>
      </c>
      <c r="B114" t="s">
        <v>5</v>
      </c>
      <c r="C114" t="s">
        <v>32</v>
      </c>
      <c r="D114">
        <v>2020</v>
      </c>
      <c r="E114">
        <v>2021</v>
      </c>
      <c r="F114" s="2">
        <v>945220179.87</v>
      </c>
      <c r="G114" s="2">
        <v>661687404.02999997</v>
      </c>
      <c r="H114">
        <v>-29.996400000000001</v>
      </c>
    </row>
    <row r="115" spans="1:8" x14ac:dyDescent="0.25">
      <c r="A115">
        <v>3</v>
      </c>
      <c r="B115" t="s">
        <v>5</v>
      </c>
      <c r="C115" t="s">
        <v>32</v>
      </c>
      <c r="D115">
        <v>2021</v>
      </c>
      <c r="E115">
        <v>2022</v>
      </c>
      <c r="F115" s="2">
        <v>661687404.02999997</v>
      </c>
      <c r="G115" s="2">
        <v>723548287.63999999</v>
      </c>
      <c r="H115">
        <v>9.3489000000000004</v>
      </c>
    </row>
    <row r="116" spans="1:8" x14ac:dyDescent="0.25">
      <c r="A116">
        <v>3</v>
      </c>
      <c r="B116" t="s">
        <v>5</v>
      </c>
      <c r="C116" t="s">
        <v>8</v>
      </c>
      <c r="D116">
        <v>2019</v>
      </c>
      <c r="E116">
        <v>2020</v>
      </c>
      <c r="F116" s="2">
        <v>94473991504.979996</v>
      </c>
      <c r="G116" s="2">
        <v>88075683998.619995</v>
      </c>
      <c r="H116">
        <v>-6.7725</v>
      </c>
    </row>
    <row r="117" spans="1:8" x14ac:dyDescent="0.25">
      <c r="A117">
        <v>3</v>
      </c>
      <c r="B117" t="s">
        <v>5</v>
      </c>
      <c r="C117" t="s">
        <v>8</v>
      </c>
      <c r="D117">
        <v>2020</v>
      </c>
      <c r="E117">
        <v>2021</v>
      </c>
      <c r="F117" s="2">
        <v>88075683998.619995</v>
      </c>
      <c r="G117" s="2">
        <v>96055710789.350006</v>
      </c>
      <c r="H117">
        <v>9.0603999999999996</v>
      </c>
    </row>
    <row r="118" spans="1:8" x14ac:dyDescent="0.25">
      <c r="A118">
        <v>3</v>
      </c>
      <c r="B118" t="s">
        <v>5</v>
      </c>
      <c r="C118" t="s">
        <v>8</v>
      </c>
      <c r="D118">
        <v>2021</v>
      </c>
      <c r="E118">
        <v>2022</v>
      </c>
      <c r="F118" s="2">
        <v>96055710789.350006</v>
      </c>
      <c r="G118" s="2">
        <v>109777753771.73</v>
      </c>
      <c r="H118">
        <v>14.285500000000001</v>
      </c>
    </row>
    <row r="119" spans="1:8" x14ac:dyDescent="0.25">
      <c r="A119">
        <v>3</v>
      </c>
      <c r="B119" t="s">
        <v>5</v>
      </c>
      <c r="C119" t="s">
        <v>33</v>
      </c>
      <c r="D119">
        <v>2019</v>
      </c>
      <c r="E119">
        <v>2020</v>
      </c>
      <c r="F119" s="2">
        <v>1405077258983.3999</v>
      </c>
      <c r="G119" s="2">
        <v>1833786888688.24</v>
      </c>
      <c r="H119">
        <v>30.511399999999998</v>
      </c>
    </row>
    <row r="120" spans="1:8" x14ac:dyDescent="0.25">
      <c r="A120">
        <v>3</v>
      </c>
      <c r="B120" t="s">
        <v>5</v>
      </c>
      <c r="C120" t="s">
        <v>33</v>
      </c>
      <c r="D120">
        <v>2020</v>
      </c>
      <c r="E120">
        <v>2021</v>
      </c>
      <c r="F120" s="2">
        <v>1833786888688.24</v>
      </c>
      <c r="G120" s="2">
        <v>2364686485649.2598</v>
      </c>
      <c r="H120">
        <v>28.950900000000001</v>
      </c>
    </row>
    <row r="121" spans="1:8" x14ac:dyDescent="0.25">
      <c r="A121">
        <v>3</v>
      </c>
      <c r="B121" t="s">
        <v>5</v>
      </c>
      <c r="C121" t="s">
        <v>33</v>
      </c>
      <c r="D121">
        <v>2021</v>
      </c>
      <c r="E121">
        <v>2022</v>
      </c>
      <c r="F121" s="2">
        <v>2364686485649.2598</v>
      </c>
      <c r="G121" s="2">
        <v>2397916408155.27</v>
      </c>
      <c r="H121">
        <v>1.4052</v>
      </c>
    </row>
    <row r="122" spans="1:8" x14ac:dyDescent="0.25">
      <c r="A122">
        <v>3</v>
      </c>
      <c r="B122" t="s">
        <v>5</v>
      </c>
      <c r="C122" t="s">
        <v>34</v>
      </c>
      <c r="D122">
        <v>2019</v>
      </c>
      <c r="E122">
        <v>2020</v>
      </c>
      <c r="F122" s="2">
        <v>2337912687.3699999</v>
      </c>
      <c r="G122" s="2">
        <v>1374027673.8900001</v>
      </c>
      <c r="H122">
        <v>-41.228400000000001</v>
      </c>
    </row>
    <row r="123" spans="1:8" x14ac:dyDescent="0.25">
      <c r="A123">
        <v>3</v>
      </c>
      <c r="B123" t="s">
        <v>5</v>
      </c>
      <c r="C123" t="s">
        <v>34</v>
      </c>
      <c r="D123">
        <v>2020</v>
      </c>
      <c r="E123">
        <v>2021</v>
      </c>
      <c r="F123" s="2">
        <v>1374027673.8900001</v>
      </c>
      <c r="G123" s="2">
        <v>1648173458.2</v>
      </c>
      <c r="H123">
        <v>19.951899999999998</v>
      </c>
    </row>
    <row r="124" spans="1:8" x14ac:dyDescent="0.25">
      <c r="A124">
        <v>3</v>
      </c>
      <c r="B124" t="s">
        <v>5</v>
      </c>
      <c r="C124" t="s">
        <v>34</v>
      </c>
      <c r="D124">
        <v>2021</v>
      </c>
      <c r="E124">
        <v>2022</v>
      </c>
      <c r="F124" s="2">
        <v>1648173458.2</v>
      </c>
      <c r="G124" s="2">
        <v>1320496372.51</v>
      </c>
      <c r="H124">
        <v>-19.8812</v>
      </c>
    </row>
    <row r="125" spans="1:8" x14ac:dyDescent="0.25">
      <c r="A125">
        <v>3</v>
      </c>
      <c r="B125" t="s">
        <v>5</v>
      </c>
      <c r="C125" t="s">
        <v>35</v>
      </c>
      <c r="D125">
        <v>2019</v>
      </c>
      <c r="E125">
        <v>2020</v>
      </c>
      <c r="F125" s="2">
        <v>742284492.91999996</v>
      </c>
      <c r="G125" s="2">
        <v>800437347.32000005</v>
      </c>
      <c r="H125">
        <v>7.8342999999999998</v>
      </c>
    </row>
    <row r="126" spans="1:8" x14ac:dyDescent="0.25">
      <c r="A126">
        <v>3</v>
      </c>
      <c r="B126" t="s">
        <v>5</v>
      </c>
      <c r="C126" t="s">
        <v>35</v>
      </c>
      <c r="D126">
        <v>2020</v>
      </c>
      <c r="E126">
        <v>2021</v>
      </c>
      <c r="F126" s="2">
        <v>800437347.32000005</v>
      </c>
      <c r="G126" s="2">
        <v>830527968.47000003</v>
      </c>
      <c r="H126">
        <v>3.7591999999999999</v>
      </c>
    </row>
    <row r="127" spans="1:8" x14ac:dyDescent="0.25">
      <c r="A127">
        <v>3</v>
      </c>
      <c r="B127" t="s">
        <v>5</v>
      </c>
      <c r="C127" t="s">
        <v>35</v>
      </c>
      <c r="D127">
        <v>2021</v>
      </c>
      <c r="E127">
        <v>2022</v>
      </c>
      <c r="F127" s="2">
        <v>830527968.47000003</v>
      </c>
      <c r="G127" s="2">
        <v>898850265</v>
      </c>
      <c r="H127">
        <v>8.2263000000000002</v>
      </c>
    </row>
    <row r="128" spans="1:8" x14ac:dyDescent="0.25">
      <c r="A128">
        <v>3</v>
      </c>
      <c r="B128" t="s">
        <v>5</v>
      </c>
      <c r="C128" t="s">
        <v>36</v>
      </c>
      <c r="D128">
        <v>2019</v>
      </c>
      <c r="E128">
        <v>2020</v>
      </c>
      <c r="F128" s="2">
        <v>3264927487.7399998</v>
      </c>
      <c r="G128" s="2">
        <v>3533183400.9299998</v>
      </c>
      <c r="H128">
        <v>8.2162000000000006</v>
      </c>
    </row>
    <row r="129" spans="1:8" x14ac:dyDescent="0.25">
      <c r="A129">
        <v>3</v>
      </c>
      <c r="B129" t="s">
        <v>5</v>
      </c>
      <c r="C129" t="s">
        <v>36</v>
      </c>
      <c r="D129">
        <v>2020</v>
      </c>
      <c r="E129">
        <v>2021</v>
      </c>
      <c r="F129" s="2">
        <v>3533183400.9299998</v>
      </c>
      <c r="G129" s="2">
        <v>2999243626.0999999</v>
      </c>
      <c r="H129">
        <v>-15.1121</v>
      </c>
    </row>
    <row r="130" spans="1:8" x14ac:dyDescent="0.25">
      <c r="A130">
        <v>3</v>
      </c>
      <c r="B130" t="s">
        <v>5</v>
      </c>
      <c r="C130" t="s">
        <v>36</v>
      </c>
      <c r="D130">
        <v>2021</v>
      </c>
      <c r="E130">
        <v>2022</v>
      </c>
      <c r="F130" s="2">
        <v>2999243626.0999999</v>
      </c>
      <c r="G130" s="2">
        <v>2945711179.3600001</v>
      </c>
      <c r="H130">
        <v>-1.7847999999999999</v>
      </c>
    </row>
    <row r="131" spans="1:8" x14ac:dyDescent="0.25">
      <c r="A131">
        <v>3</v>
      </c>
      <c r="B131" t="s">
        <v>5</v>
      </c>
      <c r="C131" t="s">
        <v>37</v>
      </c>
      <c r="D131">
        <v>2019</v>
      </c>
      <c r="E131">
        <v>2020</v>
      </c>
      <c r="F131" s="2">
        <v>4925414.1100000003</v>
      </c>
      <c r="G131" s="2">
        <v>1971878.19</v>
      </c>
      <c r="H131">
        <v>-59.965200000000003</v>
      </c>
    </row>
    <row r="132" spans="1:8" x14ac:dyDescent="0.25">
      <c r="A132">
        <v>3</v>
      </c>
      <c r="B132" t="s">
        <v>5</v>
      </c>
      <c r="C132" t="s">
        <v>37</v>
      </c>
      <c r="D132">
        <v>2020</v>
      </c>
      <c r="E132">
        <v>2021</v>
      </c>
      <c r="F132" s="2">
        <v>1971878.19</v>
      </c>
      <c r="G132" s="2">
        <v>2106963.46</v>
      </c>
      <c r="H132">
        <v>6.8505000000000003</v>
      </c>
    </row>
    <row r="133" spans="1:8" x14ac:dyDescent="0.25">
      <c r="A133">
        <v>3</v>
      </c>
      <c r="B133" t="s">
        <v>5</v>
      </c>
      <c r="C133" t="s">
        <v>37</v>
      </c>
      <c r="D133">
        <v>2021</v>
      </c>
      <c r="E133">
        <v>2022</v>
      </c>
      <c r="F133" s="2">
        <v>2106963.46</v>
      </c>
      <c r="G133" s="2">
        <v>2549748.96</v>
      </c>
      <c r="H133">
        <v>21.0153</v>
      </c>
    </row>
    <row r="134" spans="1:8" x14ac:dyDescent="0.25">
      <c r="A134">
        <v>3</v>
      </c>
      <c r="B134" t="s">
        <v>5</v>
      </c>
      <c r="C134" t="s">
        <v>38</v>
      </c>
      <c r="D134">
        <v>2019</v>
      </c>
      <c r="E134">
        <v>2020</v>
      </c>
      <c r="F134" s="2">
        <v>1703569178.6800001</v>
      </c>
      <c r="G134" s="2">
        <v>1566371141.74</v>
      </c>
      <c r="H134">
        <v>-8.0534999999999997</v>
      </c>
    </row>
    <row r="135" spans="1:8" x14ac:dyDescent="0.25">
      <c r="A135">
        <v>3</v>
      </c>
      <c r="B135" t="s">
        <v>5</v>
      </c>
      <c r="C135" t="s">
        <v>38</v>
      </c>
      <c r="D135">
        <v>2020</v>
      </c>
      <c r="E135">
        <v>2021</v>
      </c>
      <c r="F135" s="2">
        <v>1566371141.74</v>
      </c>
      <c r="G135" s="2">
        <v>1570794085.0699999</v>
      </c>
      <c r="H135">
        <v>0.2823</v>
      </c>
    </row>
    <row r="136" spans="1:8" x14ac:dyDescent="0.25">
      <c r="A136">
        <v>3</v>
      </c>
      <c r="B136" t="s">
        <v>5</v>
      </c>
      <c r="C136" t="s">
        <v>38</v>
      </c>
      <c r="D136">
        <v>2021</v>
      </c>
      <c r="E136">
        <v>2022</v>
      </c>
      <c r="F136" s="2">
        <v>1570794085.0699999</v>
      </c>
      <c r="G136" s="2">
        <v>1677609941.3299999</v>
      </c>
      <c r="H136">
        <v>6.8000999999999996</v>
      </c>
    </row>
    <row r="137" spans="1:8" x14ac:dyDescent="0.25">
      <c r="A137">
        <v>3</v>
      </c>
      <c r="B137" t="s">
        <v>5</v>
      </c>
      <c r="C137" t="s">
        <v>39</v>
      </c>
      <c r="D137">
        <v>2019</v>
      </c>
      <c r="E137">
        <v>2020</v>
      </c>
      <c r="F137" s="2">
        <v>6368691.9100000001</v>
      </c>
      <c r="G137" s="2">
        <v>19291747.66</v>
      </c>
      <c r="H137">
        <v>202.9153</v>
      </c>
    </row>
    <row r="138" spans="1:8" x14ac:dyDescent="0.25">
      <c r="A138">
        <v>3</v>
      </c>
      <c r="B138" t="s">
        <v>5</v>
      </c>
      <c r="C138" t="s">
        <v>39</v>
      </c>
      <c r="D138">
        <v>2020</v>
      </c>
      <c r="E138">
        <v>2021</v>
      </c>
      <c r="F138" s="2">
        <v>19291747.66</v>
      </c>
      <c r="G138" s="2">
        <v>14409663.82</v>
      </c>
      <c r="H138">
        <v>-25.3065</v>
      </c>
    </row>
    <row r="139" spans="1:8" x14ac:dyDescent="0.25">
      <c r="A139">
        <v>3</v>
      </c>
      <c r="B139" t="s">
        <v>5</v>
      </c>
      <c r="C139" t="s">
        <v>39</v>
      </c>
      <c r="D139">
        <v>2021</v>
      </c>
      <c r="E139">
        <v>2022</v>
      </c>
      <c r="F139" s="2">
        <v>14409663.82</v>
      </c>
      <c r="G139" s="2">
        <v>115206776.59999999</v>
      </c>
      <c r="H139">
        <v>699.51049999999998</v>
      </c>
    </row>
    <row r="140" spans="1:8" x14ac:dyDescent="0.25">
      <c r="A140">
        <v>3</v>
      </c>
      <c r="B140" t="s">
        <v>5</v>
      </c>
      <c r="C140" t="s">
        <v>40</v>
      </c>
      <c r="D140">
        <v>2019</v>
      </c>
      <c r="E140">
        <v>2020</v>
      </c>
      <c r="F140" s="2">
        <v>2912869.88</v>
      </c>
      <c r="G140" s="2">
        <v>1622352.71</v>
      </c>
      <c r="H140">
        <v>-44.303899999999999</v>
      </c>
    </row>
    <row r="141" spans="1:8" x14ac:dyDescent="0.25">
      <c r="A141">
        <v>3</v>
      </c>
      <c r="B141" t="s">
        <v>5</v>
      </c>
      <c r="C141" t="s">
        <v>40</v>
      </c>
      <c r="D141">
        <v>2020</v>
      </c>
      <c r="E141">
        <v>2021</v>
      </c>
      <c r="F141" s="2">
        <v>1622352.71</v>
      </c>
      <c r="G141" s="2">
        <v>862303.26</v>
      </c>
      <c r="H141">
        <v>-46.848500000000001</v>
      </c>
    </row>
    <row r="142" spans="1:8" x14ac:dyDescent="0.25">
      <c r="A142">
        <v>3</v>
      </c>
      <c r="B142" t="s">
        <v>5</v>
      </c>
      <c r="C142" t="s">
        <v>40</v>
      </c>
      <c r="D142">
        <v>2021</v>
      </c>
      <c r="E142">
        <v>2022</v>
      </c>
      <c r="F142" s="2">
        <v>862303.26</v>
      </c>
      <c r="G142" s="2">
        <v>1782137.97</v>
      </c>
      <c r="H142">
        <v>106.6718</v>
      </c>
    </row>
    <row r="143" spans="1:8" x14ac:dyDescent="0.25">
      <c r="A143">
        <v>3</v>
      </c>
      <c r="B143" t="s">
        <v>5</v>
      </c>
      <c r="C143" t="s">
        <v>41</v>
      </c>
      <c r="D143">
        <v>2019</v>
      </c>
      <c r="E143">
        <v>2020</v>
      </c>
      <c r="F143" s="2">
        <v>1374869273.3599999</v>
      </c>
      <c r="G143" s="2">
        <v>1326961323.8699999</v>
      </c>
      <c r="H143">
        <v>-3.4845000000000002</v>
      </c>
    </row>
    <row r="144" spans="1:8" x14ac:dyDescent="0.25">
      <c r="A144">
        <v>3</v>
      </c>
      <c r="B144" t="s">
        <v>5</v>
      </c>
      <c r="C144" t="s">
        <v>41</v>
      </c>
      <c r="D144">
        <v>2020</v>
      </c>
      <c r="E144">
        <v>2021</v>
      </c>
      <c r="F144" s="2">
        <v>1326961323.8699999</v>
      </c>
      <c r="G144" s="2">
        <v>1016758860.05</v>
      </c>
      <c r="H144">
        <v>-23.376899999999999</v>
      </c>
    </row>
    <row r="145" spans="1:8" x14ac:dyDescent="0.25">
      <c r="A145">
        <v>3</v>
      </c>
      <c r="B145" t="s">
        <v>5</v>
      </c>
      <c r="C145" t="s">
        <v>41</v>
      </c>
      <c r="D145">
        <v>2021</v>
      </c>
      <c r="E145">
        <v>2022</v>
      </c>
      <c r="F145" s="2">
        <v>1016758860.05</v>
      </c>
      <c r="G145" s="2">
        <v>1429923782.97</v>
      </c>
      <c r="H145">
        <v>40.635399999999997</v>
      </c>
    </row>
    <row r="146" spans="1:8" x14ac:dyDescent="0.25">
      <c r="A146">
        <v>3</v>
      </c>
      <c r="B146" t="s">
        <v>5</v>
      </c>
      <c r="C146" t="s">
        <v>42</v>
      </c>
      <c r="D146">
        <v>2019</v>
      </c>
      <c r="E146">
        <v>2020</v>
      </c>
      <c r="F146" s="2">
        <v>668956309752.29004</v>
      </c>
      <c r="G146" s="2">
        <v>703143073989.38</v>
      </c>
      <c r="H146">
        <v>5.1104000000000003</v>
      </c>
    </row>
    <row r="147" spans="1:8" x14ac:dyDescent="0.25">
      <c r="A147">
        <v>3</v>
      </c>
      <c r="B147" t="s">
        <v>5</v>
      </c>
      <c r="C147" t="s">
        <v>42</v>
      </c>
      <c r="D147">
        <v>2020</v>
      </c>
      <c r="E147">
        <v>2021</v>
      </c>
      <c r="F147" s="2">
        <v>703143073989.38</v>
      </c>
      <c r="G147" s="2">
        <v>740199065240.18005</v>
      </c>
      <c r="H147">
        <v>5.27</v>
      </c>
    </row>
    <row r="148" spans="1:8" x14ac:dyDescent="0.25">
      <c r="A148">
        <v>3</v>
      </c>
      <c r="B148" t="s">
        <v>5</v>
      </c>
      <c r="C148" t="s">
        <v>42</v>
      </c>
      <c r="D148">
        <v>2021</v>
      </c>
      <c r="E148">
        <v>2022</v>
      </c>
      <c r="F148" s="2">
        <v>740199065240.18005</v>
      </c>
      <c r="G148" s="2">
        <v>824009345150.40002</v>
      </c>
      <c r="H148">
        <v>11.3226</v>
      </c>
    </row>
    <row r="149" spans="1:8" x14ac:dyDescent="0.25">
      <c r="A149">
        <v>3</v>
      </c>
      <c r="B149" t="s">
        <v>5</v>
      </c>
      <c r="C149" t="s">
        <v>43</v>
      </c>
      <c r="D149">
        <v>2019</v>
      </c>
      <c r="E149">
        <v>2020</v>
      </c>
      <c r="F149" s="2">
        <v>3192615444.2800002</v>
      </c>
      <c r="G149" s="2">
        <v>3800146507.3800001</v>
      </c>
      <c r="H149">
        <v>19.029199999999999</v>
      </c>
    </row>
    <row r="150" spans="1:8" x14ac:dyDescent="0.25">
      <c r="A150">
        <v>3</v>
      </c>
      <c r="B150" t="s">
        <v>5</v>
      </c>
      <c r="C150" t="s">
        <v>43</v>
      </c>
      <c r="D150">
        <v>2020</v>
      </c>
      <c r="E150">
        <v>2021</v>
      </c>
      <c r="F150" s="2">
        <v>3800146507.3800001</v>
      </c>
      <c r="G150" s="2">
        <v>3812170565.8499999</v>
      </c>
      <c r="H150">
        <v>0.31640000000000001</v>
      </c>
    </row>
    <row r="151" spans="1:8" x14ac:dyDescent="0.25">
      <c r="A151">
        <v>3</v>
      </c>
      <c r="B151" t="s">
        <v>5</v>
      </c>
      <c r="C151" t="s">
        <v>43</v>
      </c>
      <c r="D151">
        <v>2021</v>
      </c>
      <c r="E151">
        <v>2022</v>
      </c>
      <c r="F151" s="2">
        <v>3812170565.8499999</v>
      </c>
      <c r="G151" s="2">
        <v>3870017253.3000002</v>
      </c>
      <c r="H151">
        <v>1.5174000000000001</v>
      </c>
    </row>
    <row r="152" spans="1:8" x14ac:dyDescent="0.25">
      <c r="A152">
        <v>3</v>
      </c>
      <c r="B152" t="s">
        <v>5</v>
      </c>
      <c r="C152" t="s">
        <v>44</v>
      </c>
      <c r="D152">
        <v>2019</v>
      </c>
      <c r="E152">
        <v>2020</v>
      </c>
      <c r="F152" s="2">
        <v>450742891.48000002</v>
      </c>
      <c r="G152" s="2">
        <v>788948145.46000004</v>
      </c>
      <c r="H152">
        <v>75.032799999999995</v>
      </c>
    </row>
    <row r="153" spans="1:8" x14ac:dyDescent="0.25">
      <c r="A153">
        <v>3</v>
      </c>
      <c r="B153" t="s">
        <v>5</v>
      </c>
      <c r="C153" t="s">
        <v>44</v>
      </c>
      <c r="D153">
        <v>2020</v>
      </c>
      <c r="E153">
        <v>2021</v>
      </c>
      <c r="F153" s="2">
        <v>788948145.46000004</v>
      </c>
      <c r="G153" s="2">
        <v>445521729.76999998</v>
      </c>
      <c r="H153">
        <v>-43.529600000000002</v>
      </c>
    </row>
    <row r="154" spans="1:8" x14ac:dyDescent="0.25">
      <c r="A154">
        <v>3</v>
      </c>
      <c r="B154" t="s">
        <v>5</v>
      </c>
      <c r="C154" t="s">
        <v>44</v>
      </c>
      <c r="D154">
        <v>2021</v>
      </c>
      <c r="E154">
        <v>2022</v>
      </c>
      <c r="F154" s="2">
        <v>445521729.76999998</v>
      </c>
      <c r="G154" s="2">
        <v>290903224.39999998</v>
      </c>
      <c r="H154">
        <v>-34.704999999999998</v>
      </c>
    </row>
    <row r="155" spans="1:8" x14ac:dyDescent="0.25">
      <c r="A155">
        <v>3</v>
      </c>
      <c r="B155" t="s">
        <v>5</v>
      </c>
      <c r="C155" t="s">
        <v>9</v>
      </c>
      <c r="D155">
        <v>2019</v>
      </c>
      <c r="E155">
        <v>2020</v>
      </c>
      <c r="F155" s="2">
        <v>114182117694.52</v>
      </c>
      <c r="G155" s="2">
        <v>150462970240.45999</v>
      </c>
      <c r="H155">
        <v>31.7745</v>
      </c>
    </row>
    <row r="156" spans="1:8" x14ac:dyDescent="0.25">
      <c r="A156">
        <v>3</v>
      </c>
      <c r="B156" t="s">
        <v>5</v>
      </c>
      <c r="C156" t="s">
        <v>9</v>
      </c>
      <c r="D156">
        <v>2020</v>
      </c>
      <c r="E156">
        <v>2021</v>
      </c>
      <c r="F156" s="2">
        <v>150462970240.45999</v>
      </c>
      <c r="G156" s="2">
        <v>161436188575.45999</v>
      </c>
      <c r="H156">
        <v>7.2929000000000004</v>
      </c>
    </row>
    <row r="157" spans="1:8" x14ac:dyDescent="0.25">
      <c r="A157">
        <v>3</v>
      </c>
      <c r="B157" t="s">
        <v>5</v>
      </c>
      <c r="C157" t="s">
        <v>9</v>
      </c>
      <c r="D157">
        <v>2021</v>
      </c>
      <c r="E157">
        <v>2022</v>
      </c>
      <c r="F157" s="2">
        <v>161436188575.45999</v>
      </c>
      <c r="G157" s="2">
        <v>136849614740.07001</v>
      </c>
      <c r="H157">
        <v>-15.229900000000001</v>
      </c>
    </row>
    <row r="158" spans="1:8" x14ac:dyDescent="0.25">
      <c r="A158">
        <v>3</v>
      </c>
      <c r="B158" t="s">
        <v>5</v>
      </c>
      <c r="C158" t="s">
        <v>10</v>
      </c>
      <c r="D158">
        <v>2019</v>
      </c>
      <c r="E158">
        <v>2020</v>
      </c>
      <c r="F158" s="2">
        <v>9017613631.2700005</v>
      </c>
      <c r="G158" s="2">
        <v>10717162762.18</v>
      </c>
      <c r="H158">
        <v>18.846900000000002</v>
      </c>
    </row>
    <row r="159" spans="1:8" x14ac:dyDescent="0.25">
      <c r="A159">
        <v>3</v>
      </c>
      <c r="B159" t="s">
        <v>5</v>
      </c>
      <c r="C159" t="s">
        <v>10</v>
      </c>
      <c r="D159">
        <v>2020</v>
      </c>
      <c r="E159">
        <v>2021</v>
      </c>
      <c r="F159" s="2">
        <v>10717162762.18</v>
      </c>
      <c r="G159" s="2">
        <v>10440917761.49</v>
      </c>
      <c r="H159">
        <v>-2.5775000000000001</v>
      </c>
    </row>
    <row r="160" spans="1:8" x14ac:dyDescent="0.25">
      <c r="A160">
        <v>3</v>
      </c>
      <c r="B160" t="s">
        <v>5</v>
      </c>
      <c r="C160" t="s">
        <v>10</v>
      </c>
      <c r="D160">
        <v>2021</v>
      </c>
      <c r="E160">
        <v>2022</v>
      </c>
      <c r="F160" s="2">
        <v>10440917761.49</v>
      </c>
      <c r="G160" s="2">
        <v>11728614168.48</v>
      </c>
      <c r="H160">
        <v>12.3331</v>
      </c>
    </row>
    <row r="161" spans="1:8" x14ac:dyDescent="0.25">
      <c r="A161">
        <v>3</v>
      </c>
      <c r="B161" t="s">
        <v>5</v>
      </c>
      <c r="C161" t="s">
        <v>45</v>
      </c>
      <c r="D161">
        <v>2019</v>
      </c>
      <c r="E161">
        <v>2020</v>
      </c>
      <c r="F161" s="2">
        <v>72477067942.770004</v>
      </c>
      <c r="G161" s="2">
        <v>75873299767.190002</v>
      </c>
      <c r="H161">
        <v>4.6859000000000002</v>
      </c>
    </row>
    <row r="162" spans="1:8" x14ac:dyDescent="0.25">
      <c r="A162">
        <v>3</v>
      </c>
      <c r="B162" t="s">
        <v>5</v>
      </c>
      <c r="C162" t="s">
        <v>45</v>
      </c>
      <c r="D162">
        <v>2020</v>
      </c>
      <c r="E162">
        <v>2021</v>
      </c>
      <c r="F162" s="2">
        <v>75873299767.190002</v>
      </c>
      <c r="G162" s="2">
        <v>65836217120.129997</v>
      </c>
      <c r="H162">
        <v>-13.2287</v>
      </c>
    </row>
    <row r="163" spans="1:8" x14ac:dyDescent="0.25">
      <c r="A163">
        <v>3</v>
      </c>
      <c r="B163" t="s">
        <v>5</v>
      </c>
      <c r="C163" t="s">
        <v>45</v>
      </c>
      <c r="D163">
        <v>2021</v>
      </c>
      <c r="E163">
        <v>2022</v>
      </c>
      <c r="F163" s="2">
        <v>65836217120.129997</v>
      </c>
      <c r="G163" s="2">
        <v>92609591554.009995</v>
      </c>
      <c r="H163">
        <v>40.666600000000003</v>
      </c>
    </row>
    <row r="164" spans="1:8" x14ac:dyDescent="0.25">
      <c r="A164">
        <v>3</v>
      </c>
      <c r="B164" t="s">
        <v>5</v>
      </c>
      <c r="C164" t="s">
        <v>46</v>
      </c>
      <c r="D164">
        <v>2019</v>
      </c>
      <c r="E164">
        <v>2020</v>
      </c>
      <c r="F164" s="2">
        <v>8670935342.8299999</v>
      </c>
      <c r="G164" s="2">
        <v>7887985814.79</v>
      </c>
      <c r="H164">
        <v>-9.0295000000000005</v>
      </c>
    </row>
    <row r="165" spans="1:8" x14ac:dyDescent="0.25">
      <c r="A165">
        <v>3</v>
      </c>
      <c r="B165" t="s">
        <v>5</v>
      </c>
      <c r="C165" t="s">
        <v>46</v>
      </c>
      <c r="D165">
        <v>2020</v>
      </c>
      <c r="E165">
        <v>2021</v>
      </c>
      <c r="F165" s="2">
        <v>7887985814.79</v>
      </c>
      <c r="G165" s="2">
        <v>6551799322.2200003</v>
      </c>
      <c r="H165">
        <v>-16.939499999999999</v>
      </c>
    </row>
    <row r="166" spans="1:8" x14ac:dyDescent="0.25">
      <c r="A166">
        <v>3</v>
      </c>
      <c r="B166" t="s">
        <v>5</v>
      </c>
      <c r="C166" t="s">
        <v>46</v>
      </c>
      <c r="D166">
        <v>2021</v>
      </c>
      <c r="E166">
        <v>2022</v>
      </c>
      <c r="F166" s="2">
        <v>6551799322.2200003</v>
      </c>
      <c r="G166" s="2">
        <v>7727262351.0200005</v>
      </c>
      <c r="H166">
        <v>17.940999999999999</v>
      </c>
    </row>
    <row r="167" spans="1:8" x14ac:dyDescent="0.25">
      <c r="A167">
        <v>3</v>
      </c>
      <c r="B167" t="s">
        <v>5</v>
      </c>
      <c r="C167" t="s">
        <v>47</v>
      </c>
      <c r="D167">
        <v>2019</v>
      </c>
      <c r="E167">
        <v>2020</v>
      </c>
      <c r="F167" s="2">
        <v>1352131178.7</v>
      </c>
      <c r="G167" s="2">
        <v>1250144946.01</v>
      </c>
      <c r="H167">
        <v>-7.5426000000000002</v>
      </c>
    </row>
    <row r="168" spans="1:8" x14ac:dyDescent="0.25">
      <c r="A168">
        <v>3</v>
      </c>
      <c r="B168" t="s">
        <v>5</v>
      </c>
      <c r="C168" t="s">
        <v>47</v>
      </c>
      <c r="D168">
        <v>2020</v>
      </c>
      <c r="E168">
        <v>2021</v>
      </c>
      <c r="F168" s="2">
        <v>1250144946.01</v>
      </c>
      <c r="G168" s="2">
        <v>1120796920.5899999</v>
      </c>
      <c r="H168">
        <v>-10.3466</v>
      </c>
    </row>
    <row r="169" spans="1:8" x14ac:dyDescent="0.25">
      <c r="A169">
        <v>3</v>
      </c>
      <c r="B169" t="s">
        <v>5</v>
      </c>
      <c r="C169" t="s">
        <v>47</v>
      </c>
      <c r="D169">
        <v>2021</v>
      </c>
      <c r="E169">
        <v>2022</v>
      </c>
      <c r="F169" s="2">
        <v>1120796920.5899999</v>
      </c>
      <c r="G169" s="2">
        <v>1376066883.6199999</v>
      </c>
      <c r="H169">
        <v>22.775700000000001</v>
      </c>
    </row>
    <row r="170" spans="1:8" x14ac:dyDescent="0.25">
      <c r="A170">
        <v>4</v>
      </c>
      <c r="B170" t="s">
        <v>3</v>
      </c>
      <c r="C170" t="s">
        <v>24</v>
      </c>
      <c r="D170">
        <v>2023</v>
      </c>
      <c r="E170">
        <v>2024</v>
      </c>
      <c r="F170" s="2">
        <v>25295385524.52</v>
      </c>
      <c r="G170" s="2">
        <v>24915510263.990002</v>
      </c>
      <c r="H170">
        <v>-1.5017</v>
      </c>
    </row>
    <row r="171" spans="1:8" x14ac:dyDescent="0.25">
      <c r="A171">
        <v>4</v>
      </c>
      <c r="B171" t="s">
        <v>3</v>
      </c>
      <c r="C171" t="s">
        <v>25</v>
      </c>
      <c r="D171">
        <v>2023</v>
      </c>
      <c r="E171">
        <v>2024</v>
      </c>
      <c r="F171" s="2">
        <v>21328515167.860001</v>
      </c>
      <c r="G171" s="2">
        <v>20372423122.68</v>
      </c>
      <c r="H171">
        <v>-4.4825999999999997</v>
      </c>
    </row>
    <row r="172" spans="1:8" x14ac:dyDescent="0.25">
      <c r="A172">
        <v>4</v>
      </c>
      <c r="B172" t="s">
        <v>3</v>
      </c>
      <c r="C172" t="s">
        <v>26</v>
      </c>
      <c r="D172">
        <v>2023</v>
      </c>
      <c r="E172">
        <v>2024</v>
      </c>
      <c r="F172" s="2">
        <v>261279613885.10001</v>
      </c>
      <c r="G172" s="2">
        <v>278169600281.03003</v>
      </c>
      <c r="H172">
        <v>6.4642999999999997</v>
      </c>
    </row>
    <row r="173" spans="1:8" x14ac:dyDescent="0.25">
      <c r="A173">
        <v>4</v>
      </c>
      <c r="B173" t="s">
        <v>3</v>
      </c>
      <c r="C173" t="s">
        <v>4</v>
      </c>
      <c r="D173">
        <v>2023</v>
      </c>
      <c r="E173">
        <v>2024</v>
      </c>
      <c r="F173" s="2">
        <v>12502567872.41</v>
      </c>
      <c r="G173" s="2">
        <v>14746729409.17</v>
      </c>
      <c r="H173">
        <v>17.9496</v>
      </c>
    </row>
    <row r="174" spans="1:8" x14ac:dyDescent="0.25">
      <c r="A174">
        <v>4</v>
      </c>
      <c r="B174" t="s">
        <v>3</v>
      </c>
      <c r="C174" t="s">
        <v>27</v>
      </c>
      <c r="D174">
        <v>2023</v>
      </c>
      <c r="E174">
        <v>2024</v>
      </c>
      <c r="F174" s="2">
        <v>1989552440.9000001</v>
      </c>
      <c r="G174" s="2">
        <v>2909884940.3099999</v>
      </c>
      <c r="H174">
        <v>46.258200000000002</v>
      </c>
    </row>
    <row r="175" spans="1:8" x14ac:dyDescent="0.25">
      <c r="A175">
        <v>4</v>
      </c>
      <c r="B175" t="s">
        <v>3</v>
      </c>
      <c r="C175" t="s">
        <v>28</v>
      </c>
      <c r="D175">
        <v>2023</v>
      </c>
      <c r="E175">
        <v>2024</v>
      </c>
      <c r="F175" s="2">
        <v>2462880823.0900002</v>
      </c>
      <c r="G175" s="2">
        <v>2313157205.3499999</v>
      </c>
      <c r="H175">
        <v>-6.0792000000000002</v>
      </c>
    </row>
    <row r="176" spans="1:8" x14ac:dyDescent="0.25">
      <c r="A176">
        <v>4</v>
      </c>
      <c r="B176" t="s">
        <v>3</v>
      </c>
      <c r="C176" t="s">
        <v>29</v>
      </c>
      <c r="D176">
        <v>2023</v>
      </c>
      <c r="E176">
        <v>2024</v>
      </c>
      <c r="F176" s="2">
        <v>2286211053.9699998</v>
      </c>
      <c r="G176" s="2">
        <v>1996959919.9100001</v>
      </c>
      <c r="H176">
        <v>-12.651899999999999</v>
      </c>
    </row>
    <row r="177" spans="1:8" x14ac:dyDescent="0.25">
      <c r="A177">
        <v>4</v>
      </c>
      <c r="B177" t="s">
        <v>3</v>
      </c>
      <c r="C177" t="s">
        <v>30</v>
      </c>
      <c r="D177">
        <v>2023</v>
      </c>
      <c r="E177">
        <v>2024</v>
      </c>
      <c r="F177" s="2">
        <v>78988413508.580002</v>
      </c>
      <c r="G177" s="2">
        <v>83673205722.779999</v>
      </c>
      <c r="H177">
        <v>5.9309000000000003</v>
      </c>
    </row>
    <row r="178" spans="1:8" x14ac:dyDescent="0.25">
      <c r="A178">
        <v>4</v>
      </c>
      <c r="B178" t="s">
        <v>3</v>
      </c>
      <c r="C178" t="s">
        <v>31</v>
      </c>
      <c r="D178">
        <v>2023</v>
      </c>
      <c r="E178">
        <v>2024</v>
      </c>
      <c r="F178" s="2">
        <v>347796493.31</v>
      </c>
      <c r="G178" s="2">
        <v>266692040.59999999</v>
      </c>
      <c r="H178">
        <v>-23.319500000000001</v>
      </c>
    </row>
    <row r="179" spans="1:8" x14ac:dyDescent="0.25">
      <c r="A179">
        <v>4</v>
      </c>
      <c r="B179" t="s">
        <v>3</v>
      </c>
      <c r="C179" t="s">
        <v>32</v>
      </c>
      <c r="D179">
        <v>2023</v>
      </c>
      <c r="E179">
        <v>2024</v>
      </c>
      <c r="F179" s="2">
        <v>847233569.13</v>
      </c>
      <c r="G179" s="2">
        <v>1270660728.5799999</v>
      </c>
      <c r="H179">
        <v>49.977600000000002</v>
      </c>
    </row>
    <row r="180" spans="1:8" x14ac:dyDescent="0.25">
      <c r="A180">
        <v>4</v>
      </c>
      <c r="B180" t="s">
        <v>3</v>
      </c>
      <c r="C180" t="s">
        <v>8</v>
      </c>
      <c r="D180">
        <v>2023</v>
      </c>
      <c r="E180">
        <v>2024</v>
      </c>
      <c r="F180" s="2">
        <v>129461776029.28</v>
      </c>
      <c r="G180" s="2">
        <v>136998025393.61</v>
      </c>
      <c r="H180">
        <v>5.8212000000000002</v>
      </c>
    </row>
    <row r="181" spans="1:8" x14ac:dyDescent="0.25">
      <c r="A181">
        <v>4</v>
      </c>
      <c r="B181" t="s">
        <v>3</v>
      </c>
      <c r="C181" t="s">
        <v>33</v>
      </c>
      <c r="D181">
        <v>2023</v>
      </c>
      <c r="E181">
        <v>2024</v>
      </c>
      <c r="F181" s="2">
        <v>2408940332618.5898</v>
      </c>
      <c r="G181" s="2">
        <v>2597616777802.5698</v>
      </c>
      <c r="H181">
        <v>7.8323</v>
      </c>
    </row>
    <row r="182" spans="1:8" x14ac:dyDescent="0.25">
      <c r="A182">
        <v>4</v>
      </c>
      <c r="B182" t="s">
        <v>3</v>
      </c>
      <c r="C182" t="s">
        <v>34</v>
      </c>
      <c r="D182">
        <v>2023</v>
      </c>
      <c r="E182">
        <v>2024</v>
      </c>
      <c r="F182" s="2">
        <v>1047810992.38</v>
      </c>
      <c r="G182" s="2">
        <v>1000671756.47</v>
      </c>
      <c r="H182">
        <v>-4.4988000000000001</v>
      </c>
    </row>
    <row r="183" spans="1:8" x14ac:dyDescent="0.25">
      <c r="A183">
        <v>4</v>
      </c>
      <c r="B183" t="s">
        <v>3</v>
      </c>
      <c r="C183" t="s">
        <v>35</v>
      </c>
      <c r="D183">
        <v>2023</v>
      </c>
      <c r="E183">
        <v>2024</v>
      </c>
      <c r="F183" s="2">
        <v>812748201.12</v>
      </c>
      <c r="G183" s="2">
        <v>890504453.80999994</v>
      </c>
      <c r="H183">
        <v>9.5670000000000002</v>
      </c>
    </row>
    <row r="184" spans="1:8" x14ac:dyDescent="0.25">
      <c r="A184">
        <v>4</v>
      </c>
      <c r="B184" t="s">
        <v>3</v>
      </c>
      <c r="C184" t="s">
        <v>36</v>
      </c>
      <c r="D184">
        <v>2023</v>
      </c>
      <c r="E184">
        <v>2024</v>
      </c>
      <c r="F184" s="2">
        <v>3905964130.79</v>
      </c>
      <c r="G184" s="2">
        <v>14171643969.74</v>
      </c>
      <c r="H184">
        <v>262.82060000000001</v>
      </c>
    </row>
    <row r="185" spans="1:8" x14ac:dyDescent="0.25">
      <c r="A185">
        <v>4</v>
      </c>
      <c r="B185" t="s">
        <v>3</v>
      </c>
      <c r="C185" t="s">
        <v>37</v>
      </c>
      <c r="D185">
        <v>2023</v>
      </c>
      <c r="E185">
        <v>2024</v>
      </c>
      <c r="F185" s="2">
        <v>13333.34</v>
      </c>
      <c r="G185" s="2">
        <v>13502908.460000001</v>
      </c>
      <c r="H185">
        <v>101171.7628</v>
      </c>
    </row>
    <row r="186" spans="1:8" x14ac:dyDescent="0.25">
      <c r="A186">
        <v>4</v>
      </c>
      <c r="B186" t="s">
        <v>3</v>
      </c>
      <c r="C186" t="s">
        <v>38</v>
      </c>
      <c r="D186">
        <v>2023</v>
      </c>
      <c r="E186">
        <v>2024</v>
      </c>
      <c r="F186" s="2">
        <v>1948465196.4400001</v>
      </c>
      <c r="G186" s="2">
        <v>2042584232.4400001</v>
      </c>
      <c r="H186">
        <v>4.8304</v>
      </c>
    </row>
    <row r="187" spans="1:8" x14ac:dyDescent="0.25">
      <c r="A187">
        <v>4</v>
      </c>
      <c r="B187" t="s">
        <v>3</v>
      </c>
      <c r="C187" t="s">
        <v>39</v>
      </c>
      <c r="D187">
        <v>2023</v>
      </c>
      <c r="E187">
        <v>2024</v>
      </c>
      <c r="F187" s="2">
        <v>7833583.5</v>
      </c>
      <c r="G187" s="2">
        <v>62982878.369999997</v>
      </c>
      <c r="H187">
        <v>704.01099999999997</v>
      </c>
    </row>
    <row r="188" spans="1:8" x14ac:dyDescent="0.25">
      <c r="A188">
        <v>4</v>
      </c>
      <c r="B188" t="s">
        <v>3</v>
      </c>
      <c r="C188" t="s">
        <v>40</v>
      </c>
      <c r="D188">
        <v>2023</v>
      </c>
      <c r="E188">
        <v>2024</v>
      </c>
      <c r="F188" s="2">
        <v>1801897.64</v>
      </c>
      <c r="G188" s="2">
        <v>3460293.38</v>
      </c>
      <c r="H188">
        <v>92.036000000000001</v>
      </c>
    </row>
    <row r="189" spans="1:8" x14ac:dyDescent="0.25">
      <c r="A189">
        <v>4</v>
      </c>
      <c r="B189" t="s">
        <v>3</v>
      </c>
      <c r="C189" t="s">
        <v>41</v>
      </c>
      <c r="D189">
        <v>2023</v>
      </c>
      <c r="E189">
        <v>2024</v>
      </c>
      <c r="F189" s="2">
        <v>2599326453.73</v>
      </c>
      <c r="G189" s="2">
        <v>2724886445.0100002</v>
      </c>
      <c r="H189">
        <v>4.8304</v>
      </c>
    </row>
    <row r="190" spans="1:8" x14ac:dyDescent="0.25">
      <c r="A190">
        <v>4</v>
      </c>
      <c r="B190" t="s">
        <v>3</v>
      </c>
      <c r="C190" t="s">
        <v>42</v>
      </c>
      <c r="D190">
        <v>2023</v>
      </c>
      <c r="E190">
        <v>2024</v>
      </c>
      <c r="F190" s="2">
        <v>896358399924.27002</v>
      </c>
      <c r="G190" s="2">
        <v>965109140916.05005</v>
      </c>
      <c r="H190">
        <v>7.67</v>
      </c>
    </row>
    <row r="191" spans="1:8" x14ac:dyDescent="0.25">
      <c r="A191">
        <v>4</v>
      </c>
      <c r="B191" t="s">
        <v>3</v>
      </c>
      <c r="C191" t="s">
        <v>43</v>
      </c>
      <c r="D191">
        <v>2023</v>
      </c>
      <c r="E191">
        <v>2024</v>
      </c>
      <c r="F191" s="2">
        <v>3869972262.52</v>
      </c>
      <c r="G191" s="2">
        <v>4751862772.3599997</v>
      </c>
      <c r="H191">
        <v>22.788</v>
      </c>
    </row>
    <row r="192" spans="1:8" x14ac:dyDescent="0.25">
      <c r="A192">
        <v>4</v>
      </c>
      <c r="B192" t="s">
        <v>3</v>
      </c>
      <c r="C192" t="s">
        <v>44</v>
      </c>
      <c r="D192">
        <v>2023</v>
      </c>
      <c r="E192">
        <v>2024</v>
      </c>
      <c r="F192" s="2">
        <v>149964399.97</v>
      </c>
      <c r="G192" s="2">
        <v>241649960.88999999</v>
      </c>
      <c r="H192">
        <v>61.138199999999998</v>
      </c>
    </row>
    <row r="193" spans="1:8" x14ac:dyDescent="0.25">
      <c r="A193">
        <v>4</v>
      </c>
      <c r="B193" t="s">
        <v>3</v>
      </c>
      <c r="C193" t="s">
        <v>9</v>
      </c>
      <c r="D193">
        <v>2023</v>
      </c>
      <c r="E193">
        <v>2024</v>
      </c>
      <c r="F193" s="2">
        <v>161223980563.79001</v>
      </c>
      <c r="G193" s="2">
        <v>193468711269.59</v>
      </c>
      <c r="H193">
        <v>19.9999</v>
      </c>
    </row>
    <row r="194" spans="1:8" x14ac:dyDescent="0.25">
      <c r="A194">
        <v>4</v>
      </c>
      <c r="B194" t="s">
        <v>3</v>
      </c>
      <c r="C194" t="s">
        <v>10</v>
      </c>
      <c r="D194">
        <v>2023</v>
      </c>
      <c r="E194">
        <v>2024</v>
      </c>
      <c r="F194" s="2">
        <v>13209417058.709999</v>
      </c>
      <c r="G194" s="2">
        <v>16680308254.09</v>
      </c>
      <c r="H194">
        <v>26.2758</v>
      </c>
    </row>
    <row r="195" spans="1:8" x14ac:dyDescent="0.25">
      <c r="A195">
        <v>4</v>
      </c>
      <c r="B195" t="s">
        <v>3</v>
      </c>
      <c r="C195" t="s">
        <v>45</v>
      </c>
      <c r="D195">
        <v>2023</v>
      </c>
      <c r="E195">
        <v>2024</v>
      </c>
      <c r="F195" s="2">
        <v>95512121222.220001</v>
      </c>
      <c r="G195" s="2">
        <v>108769186830.32001</v>
      </c>
      <c r="H195">
        <v>13.879899999999999</v>
      </c>
    </row>
    <row r="196" spans="1:8" x14ac:dyDescent="0.25">
      <c r="A196">
        <v>4</v>
      </c>
      <c r="B196" t="s">
        <v>3</v>
      </c>
      <c r="C196" t="s">
        <v>46</v>
      </c>
      <c r="D196">
        <v>2023</v>
      </c>
      <c r="E196">
        <v>2024</v>
      </c>
      <c r="F196" s="2">
        <v>12557725258.15</v>
      </c>
      <c r="G196" s="2">
        <v>14262654170.34</v>
      </c>
      <c r="H196">
        <v>13.576700000000001</v>
      </c>
    </row>
    <row r="197" spans="1:8" x14ac:dyDescent="0.25">
      <c r="A197">
        <v>4</v>
      </c>
      <c r="B197" t="s">
        <v>3</v>
      </c>
      <c r="C197" t="s">
        <v>47</v>
      </c>
      <c r="D197">
        <v>2023</v>
      </c>
      <c r="E197">
        <v>2024</v>
      </c>
      <c r="F197" s="2">
        <v>1199041806.48</v>
      </c>
      <c r="G197" s="2">
        <v>1630783211.05</v>
      </c>
      <c r="H197">
        <v>36.007199999999997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32917-14A8-4F33-950D-00CEDAED1DD8}">
  <dimension ref="A1:B4"/>
  <sheetViews>
    <sheetView workbookViewId="0">
      <selection sqref="A1:B4"/>
    </sheetView>
  </sheetViews>
  <sheetFormatPr defaultRowHeight="15" x14ac:dyDescent="0.25"/>
  <cols>
    <col min="1" max="1" width="26" bestFit="1" customWidth="1"/>
    <col min="2" max="2" width="30.42578125" bestFit="1" customWidth="1"/>
  </cols>
  <sheetData>
    <row r="1" spans="1:2" x14ac:dyDescent="0.25">
      <c r="A1" s="10" t="s">
        <v>1</v>
      </c>
      <c r="B1" t="s">
        <v>25</v>
      </c>
    </row>
    <row r="3" spans="1:2" x14ac:dyDescent="0.25">
      <c r="A3" t="s">
        <v>54</v>
      </c>
      <c r="B3" t="s">
        <v>55</v>
      </c>
    </row>
    <row r="4" spans="1:2" x14ac:dyDescent="0.25">
      <c r="A4" s="13">
        <v>14732583927.91</v>
      </c>
      <c r="B4" s="13">
        <v>29723078840.029999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CA461-1282-49E1-B939-3CF9FC37AC94}">
  <dimension ref="A1:D29"/>
  <sheetViews>
    <sheetView tabSelected="1" topLeftCell="E1" zoomScale="85" zoomScaleNormal="85" workbookViewId="0">
      <selection activeCell="W14" sqref="W14"/>
    </sheetView>
  </sheetViews>
  <sheetFormatPr defaultRowHeight="15" x14ac:dyDescent="0.25"/>
  <cols>
    <col min="1" max="1" width="20.28515625" hidden="1" customWidth="1"/>
    <col min="2" max="2" width="23.28515625" style="12" hidden="1" customWidth="1"/>
    <col min="3" max="3" width="24.28515625" style="12" hidden="1" customWidth="1"/>
    <col min="4" max="4" width="20.85546875" hidden="1" customWidth="1"/>
  </cols>
  <sheetData>
    <row r="1" spans="1:4" x14ac:dyDescent="0.25">
      <c r="A1" t="s">
        <v>1</v>
      </c>
      <c r="B1" s="12" t="s">
        <v>52</v>
      </c>
      <c r="C1" s="12" t="s">
        <v>53</v>
      </c>
      <c r="D1" t="s">
        <v>23</v>
      </c>
    </row>
    <row r="2" spans="1:4" x14ac:dyDescent="0.25">
      <c r="A2" s="11" t="s">
        <v>26</v>
      </c>
      <c r="B2" s="12">
        <v>92845668722.410004</v>
      </c>
      <c r="C2" s="12">
        <v>568538611951.85999</v>
      </c>
      <c r="D2">
        <v>512.34799999999996</v>
      </c>
    </row>
    <row r="3" spans="1:4" x14ac:dyDescent="0.25">
      <c r="A3" s="11" t="s">
        <v>39</v>
      </c>
      <c r="B3" s="12">
        <v>6368691.9100000001</v>
      </c>
      <c r="C3" s="12">
        <v>33701411.479999997</v>
      </c>
      <c r="D3">
        <v>429.17320000000001</v>
      </c>
    </row>
    <row r="4" spans="1:4" x14ac:dyDescent="0.25">
      <c r="A4" s="11" t="s">
        <v>27</v>
      </c>
      <c r="B4" s="12">
        <v>1849307025.6500001</v>
      </c>
      <c r="C4" s="12">
        <v>6731838698.8500004</v>
      </c>
      <c r="D4">
        <v>264.01949999999999</v>
      </c>
    </row>
    <row r="5" spans="1:4" x14ac:dyDescent="0.25">
      <c r="A5" s="11" t="s">
        <v>28</v>
      </c>
      <c r="B5" s="12">
        <v>1185519728.5599999</v>
      </c>
      <c r="C5" s="12">
        <v>3735855767.0700002</v>
      </c>
      <c r="D5">
        <v>215.12379999999999</v>
      </c>
    </row>
    <row r="6" spans="1:4" x14ac:dyDescent="0.25">
      <c r="A6" s="11" t="s">
        <v>33</v>
      </c>
      <c r="B6" s="12">
        <v>1405077258983.3999</v>
      </c>
      <c r="C6" s="12">
        <v>4198473374337.5</v>
      </c>
      <c r="D6">
        <v>198.80719999999999</v>
      </c>
    </row>
    <row r="7" spans="1:4" x14ac:dyDescent="0.25">
      <c r="A7" s="11" t="s">
        <v>44</v>
      </c>
      <c r="B7" s="12">
        <v>450742891.48000002</v>
      </c>
      <c r="C7" s="12">
        <v>1234469875.23</v>
      </c>
      <c r="D7">
        <v>173.87450000000001</v>
      </c>
    </row>
    <row r="8" spans="1:4" x14ac:dyDescent="0.25">
      <c r="A8" s="11" t="s">
        <v>9</v>
      </c>
      <c r="B8" s="12">
        <v>114182117694.52</v>
      </c>
      <c r="C8" s="12">
        <v>311899158815.91998</v>
      </c>
      <c r="D8">
        <v>173.1593</v>
      </c>
    </row>
    <row r="9" spans="1:4" x14ac:dyDescent="0.25">
      <c r="A9" s="11" t="s">
        <v>43</v>
      </c>
      <c r="B9" s="12">
        <v>3192615444.2800002</v>
      </c>
      <c r="C9" s="12">
        <v>7612317073.2299995</v>
      </c>
      <c r="D9">
        <v>138.43510000000001</v>
      </c>
    </row>
    <row r="10" spans="1:4" x14ac:dyDescent="0.25">
      <c r="A10" s="11" t="s">
        <v>10</v>
      </c>
      <c r="B10" s="12">
        <v>9017613631.2700005</v>
      </c>
      <c r="C10" s="12">
        <v>21158080523.669998</v>
      </c>
      <c r="D10">
        <v>134.63050000000001</v>
      </c>
    </row>
    <row r="11" spans="1:4" x14ac:dyDescent="0.25">
      <c r="A11" s="11" t="s">
        <v>35</v>
      </c>
      <c r="B11" s="12">
        <v>742284492.91999996</v>
      </c>
      <c r="C11" s="12">
        <v>1630965315.79</v>
      </c>
      <c r="D11">
        <v>119.72239999999999</v>
      </c>
    </row>
    <row r="12" spans="1:4" x14ac:dyDescent="0.25">
      <c r="A12" s="11" t="s">
        <v>42</v>
      </c>
      <c r="B12" s="12">
        <v>668956309752.29004</v>
      </c>
      <c r="C12" s="12">
        <v>1443342139229.5601</v>
      </c>
      <c r="D12">
        <v>115.7602</v>
      </c>
    </row>
    <row r="13" spans="1:4" x14ac:dyDescent="0.25">
      <c r="A13" s="11" t="s">
        <v>25</v>
      </c>
      <c r="B13" s="12">
        <v>14732583927.91</v>
      </c>
      <c r="C13" s="12">
        <v>29723078840.029999</v>
      </c>
      <c r="D13">
        <v>101.75060000000001</v>
      </c>
    </row>
    <row r="14" spans="1:4" x14ac:dyDescent="0.25">
      <c r="A14" s="11" t="s">
        <v>36</v>
      </c>
      <c r="B14" s="12">
        <v>3264927487.7399998</v>
      </c>
      <c r="C14" s="12">
        <v>6532427027.0299997</v>
      </c>
      <c r="D14">
        <v>100.0787</v>
      </c>
    </row>
    <row r="15" spans="1:4" x14ac:dyDescent="0.25">
      <c r="A15" s="11" t="s">
        <v>24</v>
      </c>
      <c r="B15" s="12">
        <v>25614927067.959999</v>
      </c>
      <c r="C15" s="12">
        <v>50802367394.940002</v>
      </c>
      <c r="D15">
        <v>98.331100000000006</v>
      </c>
    </row>
    <row r="16" spans="1:4" x14ac:dyDescent="0.25">
      <c r="A16" s="11" t="s">
        <v>30</v>
      </c>
      <c r="B16" s="12">
        <v>75278095047.289993</v>
      </c>
      <c r="C16" s="12">
        <v>147959852638.14001</v>
      </c>
      <c r="D16">
        <v>96.551000000000002</v>
      </c>
    </row>
    <row r="17" spans="1:4" x14ac:dyDescent="0.25">
      <c r="A17" s="11" t="s">
        <v>45</v>
      </c>
      <c r="B17" s="12">
        <v>72477067942.770004</v>
      </c>
      <c r="C17" s="12">
        <v>141709516887.32001</v>
      </c>
      <c r="D17">
        <v>95.523200000000003</v>
      </c>
    </row>
    <row r="18" spans="1:4" x14ac:dyDescent="0.25">
      <c r="A18" s="11" t="s">
        <v>8</v>
      </c>
      <c r="B18" s="12">
        <v>94473991504.979996</v>
      </c>
      <c r="C18" s="12">
        <v>184131394787.97</v>
      </c>
      <c r="D18">
        <v>94.901600000000002</v>
      </c>
    </row>
    <row r="19" spans="1:4" x14ac:dyDescent="0.25">
      <c r="A19" s="11" t="s">
        <v>38</v>
      </c>
      <c r="B19" s="12">
        <v>1703569178.6800001</v>
      </c>
      <c r="C19" s="12">
        <v>3137165226.8099999</v>
      </c>
      <c r="D19">
        <v>84.1524</v>
      </c>
    </row>
    <row r="20" spans="1:4" x14ac:dyDescent="0.25">
      <c r="A20" s="11" t="s">
        <v>32</v>
      </c>
      <c r="B20" s="12">
        <v>891804303.82000005</v>
      </c>
      <c r="C20" s="12">
        <v>1606907583.9000001</v>
      </c>
      <c r="D20">
        <v>80.186099999999996</v>
      </c>
    </row>
    <row r="21" spans="1:4" x14ac:dyDescent="0.25">
      <c r="A21" s="11" t="s">
        <v>47</v>
      </c>
      <c r="B21" s="12">
        <v>1352131178.7</v>
      </c>
      <c r="C21" s="12">
        <v>2370941866.5999999</v>
      </c>
      <c r="D21">
        <v>75.348500000000001</v>
      </c>
    </row>
    <row r="22" spans="1:4" x14ac:dyDescent="0.25">
      <c r="A22" s="11" t="s">
        <v>41</v>
      </c>
      <c r="B22" s="12">
        <v>1374869273.3599999</v>
      </c>
      <c r="C22" s="12">
        <v>2343720183.9200001</v>
      </c>
      <c r="D22">
        <v>70.468500000000006</v>
      </c>
    </row>
    <row r="23" spans="1:4" x14ac:dyDescent="0.25">
      <c r="A23" s="11" t="s">
        <v>4</v>
      </c>
      <c r="B23" s="12">
        <v>6370731244.8100004</v>
      </c>
      <c r="C23" s="12">
        <v>10856196397.27</v>
      </c>
      <c r="D23">
        <v>70.407300000000006</v>
      </c>
    </row>
    <row r="24" spans="1:4" x14ac:dyDescent="0.25">
      <c r="A24" s="11" t="s">
        <v>46</v>
      </c>
      <c r="B24" s="12">
        <v>8670935342.8299999</v>
      </c>
      <c r="C24" s="12">
        <v>14439785137.01</v>
      </c>
      <c r="D24">
        <v>66.530799999999999</v>
      </c>
    </row>
    <row r="25" spans="1:4" x14ac:dyDescent="0.25">
      <c r="A25" s="11" t="s">
        <v>29</v>
      </c>
      <c r="B25" s="12">
        <v>742439073.85000002</v>
      </c>
      <c r="C25" s="12">
        <v>1228784456.49</v>
      </c>
      <c r="D25">
        <v>65.506399999999999</v>
      </c>
    </row>
    <row r="26" spans="1:4" x14ac:dyDescent="0.25">
      <c r="A26" s="11" t="s">
        <v>31</v>
      </c>
      <c r="B26" s="12">
        <v>232152337.50999999</v>
      </c>
      <c r="C26" s="12">
        <v>312621429.12</v>
      </c>
      <c r="D26">
        <v>34.662100000000002</v>
      </c>
    </row>
    <row r="27" spans="1:4" x14ac:dyDescent="0.25">
      <c r="A27" s="11" t="s">
        <v>34</v>
      </c>
      <c r="B27" s="12">
        <v>2337912687.3699999</v>
      </c>
      <c r="C27" s="12">
        <v>3022201132.0900002</v>
      </c>
      <c r="D27">
        <v>29.269200000000001</v>
      </c>
    </row>
    <row r="28" spans="1:4" x14ac:dyDescent="0.25">
      <c r="A28" s="11" t="s">
        <v>40</v>
      </c>
      <c r="B28" s="12">
        <v>2912869.88</v>
      </c>
      <c r="C28" s="12">
        <v>2484655.9700000002</v>
      </c>
      <c r="D28">
        <v>-14.700699999999999</v>
      </c>
    </row>
    <row r="29" spans="1:4" x14ac:dyDescent="0.25">
      <c r="A29" s="11" t="s">
        <v>37</v>
      </c>
      <c r="B29" s="12">
        <v>4925414.1100000003</v>
      </c>
      <c r="C29" s="12">
        <v>4078841.65</v>
      </c>
      <c r="D29">
        <v>-17.187799999999999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CD5D1B-D86D-4EE2-8D32-5AFDC11D3C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Consulta1</vt:lpstr>
      <vt:lpstr>Consulta2</vt:lpstr>
      <vt:lpstr>Consulta3</vt:lpstr>
      <vt:lpstr>Consulta4</vt:lpstr>
      <vt:lpstr>Planilha3</vt:lpstr>
      <vt:lpstr>Consulta5</vt:lpstr>
      <vt:lpstr>Planilha4</vt:lpstr>
      <vt:lpstr>Consulta6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 - Leandro Felix Da Silva</dc:creator>
  <cp:lastModifiedBy>EA - Leandro Felix Da Silva</cp:lastModifiedBy>
  <dcterms:created xsi:type="dcterms:W3CDTF">2025-11-10T22:37:33Z</dcterms:created>
  <dcterms:modified xsi:type="dcterms:W3CDTF">2025-11-11T00:56:13Z</dcterms:modified>
</cp:coreProperties>
</file>